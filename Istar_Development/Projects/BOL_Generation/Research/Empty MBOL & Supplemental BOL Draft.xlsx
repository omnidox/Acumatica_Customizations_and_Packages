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J:\Roman Sunstone Warehouse\Gal Access\BOL\"/>
    </mc:Choice>
  </mc:AlternateContent>
  <xr:revisionPtr revIDLastSave="0" documentId="13_ncr:1_{FDFADE4B-5AB0-4DC7-AEE8-A4A515977F6F}" xr6:coauthVersionLast="47" xr6:coauthVersionMax="47" xr10:uidLastSave="{00000000-0000-0000-0000-000000000000}"/>
  <bookViews>
    <workbookView xWindow="-28920" yWindow="-120" windowWidth="29040" windowHeight="15840" activeTab="3" xr2:uid="{888CA347-7849-4038-B8EE-FAC87BA1B844}"/>
  </bookViews>
  <sheets>
    <sheet name="Master BOL" sheetId="3" r:id="rId1"/>
    <sheet name="Supplimental Master BOL" sheetId="4" r:id="rId2"/>
    <sheet name="Supplemental BOL" sheetId="1" r:id="rId3"/>
    <sheet name="ADDRESS" sheetId="5" r:id="rId4"/>
    <sheet name="Customer Order Info"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 i="3" l="1"/>
  <c r="E30" i="3"/>
  <c r="B58" i="1"/>
  <c r="A22" i="1"/>
  <c r="F22" i="1" s="1"/>
  <c r="F30" i="1" s="1"/>
  <c r="K7" i="1"/>
  <c r="K9" i="1"/>
  <c r="J10" i="1"/>
  <c r="K11" i="1"/>
  <c r="F17" i="1"/>
  <c r="F16" i="3"/>
  <c r="K11" i="3"/>
  <c r="J10" i="3"/>
  <c r="K9" i="3"/>
  <c r="K7" i="3"/>
  <c r="C10" i="1"/>
  <c r="B9" i="1"/>
  <c r="D32" i="6"/>
  <c r="C32" i="6"/>
  <c r="F50" i="4"/>
  <c r="E50" i="4"/>
  <c r="E34" i="1" l="1"/>
  <c r="E42" i="1" s="1"/>
  <c r="C34" i="1"/>
  <c r="C42" i="1" s="1"/>
  <c r="E22" i="1"/>
  <c r="E30" i="1" s="1"/>
  <c r="A34" i="1" s="1"/>
  <c r="A42" i="1" s="1"/>
</calcChain>
</file>

<file path=xl/sharedStrings.xml><?xml version="1.0" encoding="utf-8"?>
<sst xmlns="http://schemas.openxmlformats.org/spreadsheetml/2006/main" count="437" uniqueCount="239">
  <si>
    <t>SHIP FROM</t>
  </si>
  <si>
    <t>Name:</t>
  </si>
  <si>
    <t>Address:</t>
  </si>
  <si>
    <t>City/State/Zip:</t>
  </si>
  <si>
    <t>SID#</t>
  </si>
  <si>
    <t>FOB:</t>
  </si>
  <si>
    <t>HANDLING UNIT</t>
  </si>
  <si>
    <t>QTY</t>
  </si>
  <si>
    <t>TYPE</t>
  </si>
  <si>
    <t>PACKAGE</t>
  </si>
  <si>
    <t>WEIGHT</t>
  </si>
  <si>
    <t>H.M.  (X)</t>
  </si>
  <si>
    <t>Commodity Description</t>
  </si>
  <si>
    <t>LTL ONLY</t>
  </si>
  <si>
    <t>NMFC #</t>
  </si>
  <si>
    <t>CLASS</t>
  </si>
  <si>
    <t>SHIP TO</t>
  </si>
  <si>
    <t>CID#</t>
  </si>
  <si>
    <t>Location #:_____________</t>
  </si>
  <si>
    <t>Trailer number:</t>
  </si>
  <si>
    <t>THIRD PARTY FREIGHT CHARGES BILL TO:</t>
  </si>
  <si>
    <t>CARRIER INFORMATION</t>
  </si>
  <si>
    <t>GRAND TOTAL</t>
  </si>
  <si>
    <t>CUSTMER ORDER NUMBER</t>
  </si>
  <si>
    <r>
      <t xml:space="preserve">Freight Charge Terms: </t>
    </r>
    <r>
      <rPr>
        <b/>
        <i/>
        <sz val="8"/>
        <rFont val="Arial"/>
        <family val="2"/>
      </rPr>
      <t>(freight charges are prepaid unless marked otherwise)</t>
    </r>
  </si>
  <si>
    <t>(check box)</t>
  </si>
  <si>
    <t>Master Bill of Lading with underlaying Bills of Lading</t>
  </si>
  <si>
    <t>CUSTOMER ORDER INFORMATION</t>
  </si>
  <si>
    <t># PKGS</t>
  </si>
  <si>
    <t>PALLET/SLIP</t>
  </si>
  <si>
    <t>(CIRCLE ONE)</t>
  </si>
  <si>
    <t>ADDITIONAL SHIPPER INFO</t>
  </si>
  <si>
    <t>Where the rate is dependent on value, shippers are required to state spacificly in writing the agreed or declared value of the property as follows:</t>
  </si>
  <si>
    <t>"The agreed or declared value of the property is specifically stated by shipper to be not exceeding</t>
  </si>
  <si>
    <t>_____________ per_____________."</t>
  </si>
  <si>
    <t>COD Amount: $___________________</t>
  </si>
  <si>
    <t>Fee Terms:     Collect:             Prepaid:</t>
  </si>
  <si>
    <t xml:space="preserve">Customer check acceptable: </t>
  </si>
  <si>
    <t>NOTE Liability Limitation for loss or damage in this shipment may be applicable. See 49 U.S.C.   14706(c)(1)(A) and (B).</t>
  </si>
  <si>
    <t>RECEIVED, subjet to individually determined rates or contracts that have been agreed upon in writing between the carrier and the shipper, if applicable, otherwise to the rates, classification and rules that have been established by the carrier and are avalible to the shipper, on request, and to all applicable state and federal regulations.</t>
  </si>
  <si>
    <t>The carrier shall not make delivery of this shipment without payment of freightand all other lawful charges</t>
  </si>
  <si>
    <t>__________________________________Shipper Signature</t>
  </si>
  <si>
    <t>SHIPPER SIGNATURE / DATE</t>
  </si>
  <si>
    <t>This is to clairify that the above named materials are properly classified, packaged, marked and labeled, and are in proper condition for transportation accourding to the applicable regulations of the DOT.</t>
  </si>
  <si>
    <t>Trailer Loaded:</t>
  </si>
  <si>
    <t>Freight Counted:</t>
  </si>
  <si>
    <t>By Shipper</t>
  </si>
  <si>
    <t xml:space="preserve">By Driver   </t>
  </si>
  <si>
    <t>By Driver/pallets said to contain</t>
  </si>
  <si>
    <t>By Driver/Pieces</t>
  </si>
  <si>
    <t>CARRIER SIGNATURE / PICKUP DATE</t>
  </si>
  <si>
    <t>Property described above is received in good order, except as noted.</t>
  </si>
  <si>
    <t>Carrier acknowledges receipt of packages and required placards. Carrier certifies emergancy response information was made avalible and/or carrier has the DOT emergancy response guidebook or equivalent documentation in the vehicle.</t>
  </si>
  <si>
    <r>
      <t xml:space="preserve">Commodities requiring special or additional careor attention in handling or stowingmust be so marked and packaged as to ensure safe transportation with ordinary care.                                                  </t>
    </r>
    <r>
      <rPr>
        <b/>
        <i/>
        <sz val="5"/>
        <rFont val="Arial"/>
        <family val="2"/>
      </rPr>
      <t>See Section 2(e) of NMFC Item 360</t>
    </r>
  </si>
  <si>
    <t>Y</t>
  </si>
  <si>
    <t>N</t>
  </si>
  <si>
    <t>MASTER BILL OF LADING</t>
  </si>
  <si>
    <t>SUPPLEMENTAL MASTER BILL OF LADING</t>
  </si>
  <si>
    <t>Additional Comments</t>
  </si>
  <si>
    <t>Address: 910 Nestle Way</t>
  </si>
  <si>
    <t>BX</t>
  </si>
  <si>
    <r>
      <t>Prepaid______      Collect_</t>
    </r>
    <r>
      <rPr>
        <b/>
        <u/>
        <sz val="9"/>
        <rFont val="Arial"/>
        <family val="2"/>
      </rPr>
      <t>_X__</t>
    </r>
    <r>
      <rPr>
        <b/>
        <sz val="9"/>
        <rFont val="Arial"/>
        <family val="2"/>
      </rPr>
      <t>_      3rd Party______</t>
    </r>
  </si>
  <si>
    <t>Page 1 of 2</t>
  </si>
  <si>
    <t>Page 2 of 2</t>
  </si>
  <si>
    <t>Address: 34 Maple Ave.</t>
  </si>
  <si>
    <t>City/State/Zip: Pine Brook, NJ 07058</t>
  </si>
  <si>
    <t>Name: iStar (Roman &amp; Sunstone)</t>
  </si>
  <si>
    <t>Name: Target/NFI Consolidation</t>
  </si>
  <si>
    <t>Pallets</t>
  </si>
  <si>
    <t>City/State/Zip: Breinigville, PA 18031</t>
  </si>
  <si>
    <t>Mix Pallets - Commodity as jewelry</t>
  </si>
  <si>
    <t>BILL OF LADING</t>
  </si>
  <si>
    <t>Page 1 of 1</t>
  </si>
  <si>
    <t xml:space="preserve">City/State/Zip: </t>
  </si>
  <si>
    <t xml:space="preserve">Seal number(s): </t>
  </si>
  <si>
    <t xml:space="preserve">Pro number:  </t>
  </si>
  <si>
    <r>
      <t xml:space="preserve">SPECIAL INSTRUCTIONS: </t>
    </r>
    <r>
      <rPr>
        <b/>
        <sz val="10"/>
        <rFont val="Arial"/>
        <family val="2"/>
      </rPr>
      <t>Target Load ID #</t>
    </r>
    <r>
      <rPr>
        <sz val="10"/>
        <rFont val="Arial"/>
        <family val="2"/>
      </rPr>
      <t xml:space="preserve"> </t>
    </r>
  </si>
  <si>
    <t>Commodity as jewelry</t>
  </si>
  <si>
    <t>TARGET  DC 0553</t>
  </si>
  <si>
    <t>7895 REDWOOD AVE</t>
  </si>
  <si>
    <t>FONTANA</t>
  </si>
  <si>
    <t>CA</t>
  </si>
  <si>
    <t>TARGET  DC 0554</t>
  </si>
  <si>
    <t>34800 UNITED AVE</t>
  </si>
  <si>
    <t>PUEBLO</t>
  </si>
  <si>
    <t>CO</t>
  </si>
  <si>
    <t>TARGET  DC 0560</t>
  </si>
  <si>
    <t>423 MOUNT VERNON RD</t>
  </si>
  <si>
    <t>STUARTS DRAFT</t>
  </si>
  <si>
    <t>VA</t>
  </si>
  <si>
    <t>TARGET DC 0551</t>
  </si>
  <si>
    <t>7120 HWY 65 NE</t>
  </si>
  <si>
    <t>FRIDLEY</t>
  </si>
  <si>
    <t>MN</t>
  </si>
  <si>
    <t>TARGET DC 0555</t>
  </si>
  <si>
    <t>2050 E BEAMER ST</t>
  </si>
  <si>
    <t>WOODLAND</t>
  </si>
  <si>
    <t>TARGET DC 0556</t>
  </si>
  <si>
    <t>110 W JORDAN RD</t>
  </si>
  <si>
    <t>TIFTON</t>
  </si>
  <si>
    <t>GA</t>
  </si>
  <si>
    <t>TARGET DC 0557</t>
  </si>
  <si>
    <t>1100 E VALLEY RD</t>
  </si>
  <si>
    <t>OCONOMOWOC</t>
  </si>
  <si>
    <t>WI</t>
  </si>
  <si>
    <t>TARGET DC 0558</t>
  </si>
  <si>
    <t>875 BETA DRIVE SW</t>
  </si>
  <si>
    <t>ALBANY</t>
  </si>
  <si>
    <t>OR</t>
  </si>
  <si>
    <t>TARGET DC 0559</t>
  </si>
  <si>
    <t>1350 S GIRLS SCHOOL RD</t>
  </si>
  <si>
    <t>INDIANAPOLIS</t>
  </si>
  <si>
    <t>IN</t>
  </si>
  <si>
    <t>TARGET DC 0578</t>
  </si>
  <si>
    <t>13790 Harvey Road</t>
  </si>
  <si>
    <t>TYLER</t>
  </si>
  <si>
    <t>TX</t>
  </si>
  <si>
    <t>TARGET DC 0579</t>
  </si>
  <si>
    <t>131 NORTH RD</t>
  </si>
  <si>
    <t>WILTON</t>
  </si>
  <si>
    <t>NY</t>
  </si>
  <si>
    <t>TARGET DC 0580</t>
  </si>
  <si>
    <t>6305 GREENBRIER RD</t>
  </si>
  <si>
    <t>MADISON</t>
  </si>
  <si>
    <t>AL</t>
  </si>
  <si>
    <t>TARGET DC 0587</t>
  </si>
  <si>
    <t>12905 East L Avenue</t>
  </si>
  <si>
    <t>GALESBURG</t>
  </si>
  <si>
    <t>MI</t>
  </si>
  <si>
    <t>TARGET DC 0588</t>
  </si>
  <si>
    <t>7101 W VAN BUREN</t>
  </si>
  <si>
    <t>PHOENIX</t>
  </si>
  <si>
    <t>AZ</t>
  </si>
  <si>
    <t>TARGET DC 0589</t>
  </si>
  <si>
    <t>3325 ARCHER DR</t>
  </si>
  <si>
    <t>CHAMBERSBURG</t>
  </si>
  <si>
    <t>PA</t>
  </si>
  <si>
    <t>TARGET DC 0590</t>
  </si>
  <si>
    <t>6601 HUDSON RD</t>
  </si>
  <si>
    <t>CEDAR FALLS</t>
  </si>
  <si>
    <t>IA</t>
  </si>
  <si>
    <t>TARGET DC 0593</t>
  </si>
  <si>
    <t>3700 Zachary Avenue</t>
  </si>
  <si>
    <t>SHAFTER</t>
  </si>
  <si>
    <t>TARGET DC 0594</t>
  </si>
  <si>
    <t>166 CORPORATE DR</t>
  </si>
  <si>
    <t>LUGOFF</t>
  </si>
  <si>
    <t>SC</t>
  </si>
  <si>
    <t>TARGET DC 3801</t>
  </si>
  <si>
    <t>4055 RAILPORT PKWY</t>
  </si>
  <si>
    <t>MIDLOTHIAN</t>
  </si>
  <si>
    <t>TARGET DC 3802</t>
  </si>
  <si>
    <t>1730 STATE HWY 5S</t>
  </si>
  <si>
    <t>AMSTERDAM</t>
  </si>
  <si>
    <t>TARGET DC 3803</t>
  </si>
  <si>
    <t>5400 WENGER ST</t>
  </si>
  <si>
    <t>TOPEKA</t>
  </si>
  <si>
    <t>KS</t>
  </si>
  <si>
    <t>TARGET DC 3804</t>
  </si>
  <si>
    <t>3 WALKER WAY</t>
  </si>
  <si>
    <t>WEST JEFFERSON</t>
  </si>
  <si>
    <t>OH</t>
  </si>
  <si>
    <t>TARGET DC 3806</t>
  </si>
  <si>
    <t>2702 SUMMIT AVE</t>
  </si>
  <si>
    <t>RIALTO</t>
  </si>
  <si>
    <t>TARGET DC 3808</t>
  </si>
  <si>
    <t>895 SUNBURY RD</t>
  </si>
  <si>
    <t>MIDWAY</t>
  </si>
  <si>
    <t>TARGET DC 3811</t>
  </si>
  <si>
    <t>1900 Stover Court</t>
  </si>
  <si>
    <t>NEWTON</t>
  </si>
  <si>
    <t>NC</t>
  </si>
  <si>
    <t>28658-8983</t>
  </si>
  <si>
    <t>TARGET DC 3856</t>
  </si>
  <si>
    <t>23000 Van Buren Boulevard</t>
  </si>
  <si>
    <t>Riverside</t>
  </si>
  <si>
    <t>TARGET DC 3857</t>
  </si>
  <si>
    <t>300 CREEKVIEW AVE, BLDG H</t>
  </si>
  <si>
    <t>LOGAN  TWP</t>
  </si>
  <si>
    <t>NJ</t>
  </si>
  <si>
    <t>08085</t>
  </si>
  <si>
    <t>TARGET DC 3865</t>
  </si>
  <si>
    <t>3501 S Pulaski Rd</t>
  </si>
  <si>
    <t>Chicago</t>
  </si>
  <si>
    <t>IL</t>
  </si>
  <si>
    <t>TARGET DC 3868</t>
  </si>
  <si>
    <t>1050 Site Pkwy</t>
  </si>
  <si>
    <t>Hampton</t>
  </si>
  <si>
    <t>DC</t>
  </si>
  <si>
    <t>ADDRESS</t>
  </si>
  <si>
    <t>TOWN</t>
  </si>
  <si>
    <t>STATE</t>
  </si>
  <si>
    <t>ZIP</t>
  </si>
  <si>
    <t xml:space="preserve">Bill of Lading Number: </t>
  </si>
  <si>
    <t>Row Labels</t>
  </si>
  <si>
    <t>Count of Carton Number</t>
  </si>
  <si>
    <t>Sum of Gross Weight</t>
  </si>
  <si>
    <t>0215-8880831-0551</t>
  </si>
  <si>
    <t>0215-8880831-0553</t>
  </si>
  <si>
    <t>0215-8880831-0554</t>
  </si>
  <si>
    <t>0215-8880831-0555</t>
  </si>
  <si>
    <t>0215-8880831-0556</t>
  </si>
  <si>
    <t>0215-8880831-0557</t>
  </si>
  <si>
    <t>0215-8880831-0558</t>
  </si>
  <si>
    <t>0215-8880831-0559</t>
  </si>
  <si>
    <t>0215-8880831-0560</t>
  </si>
  <si>
    <t>0215-8880831-0578</t>
  </si>
  <si>
    <t>0215-8880831-0579</t>
  </si>
  <si>
    <t>0215-8880831-0580</t>
  </si>
  <si>
    <t>0215-8880831-0587</t>
  </si>
  <si>
    <t>0215-8880831-0588</t>
  </si>
  <si>
    <t>0215-8880831-0589</t>
  </si>
  <si>
    <t>0215-8880831-0590</t>
  </si>
  <si>
    <t>0215-8880831-0593</t>
  </si>
  <si>
    <t>0215-8880831-0594</t>
  </si>
  <si>
    <t>0215-8880831-3801</t>
  </si>
  <si>
    <t>0215-8880831-3802</t>
  </si>
  <si>
    <t>0215-8880831-3803</t>
  </si>
  <si>
    <t>0215-8880831-3804</t>
  </si>
  <si>
    <t>0215-8880831-3806</t>
  </si>
  <si>
    <t>0215-8880831-3808</t>
  </si>
  <si>
    <t>0215-8880831-3811</t>
  </si>
  <si>
    <t>0215-8880831-3856</t>
  </si>
  <si>
    <t>0215-8880831-3857</t>
  </si>
  <si>
    <t>0215-8880831-3865</t>
  </si>
  <si>
    <t>0215-8880831-3868</t>
  </si>
  <si>
    <t>CARRIER</t>
  </si>
  <si>
    <t>CH Robinson</t>
  </si>
  <si>
    <t>SEAL:</t>
  </si>
  <si>
    <t>PRO #:</t>
  </si>
  <si>
    <t xml:space="preserve">SCAC: </t>
  </si>
  <si>
    <t>RBTW</t>
  </si>
  <si>
    <t xml:space="preserve">Master Bill of Lading Number: </t>
  </si>
  <si>
    <t xml:space="preserve">CARRIER NAME: </t>
  </si>
  <si>
    <t>SCAC:</t>
  </si>
  <si>
    <t xml:space="preserve">Pro number: </t>
  </si>
  <si>
    <t>TARGET Load:</t>
  </si>
  <si>
    <t>Date: 08/08/2025</t>
  </si>
  <si>
    <t xml:space="preserve">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</si>
</sst>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name val="Arial"/>
    </font>
    <font>
      <b/>
      <sz val="10"/>
      <name val="Arial"/>
      <family val="2"/>
    </font>
    <font>
      <b/>
      <sz val="14"/>
      <name val="Arial"/>
      <family val="2"/>
    </font>
    <font>
      <sz val="10"/>
      <name val="Arial"/>
      <family val="2"/>
    </font>
    <font>
      <b/>
      <sz val="10"/>
      <color indexed="9"/>
      <name val="Arial"/>
      <family val="2"/>
    </font>
    <font>
      <sz val="8"/>
      <name val="Arial"/>
      <family val="2"/>
    </font>
    <font>
      <b/>
      <sz val="8"/>
      <name val="Arial"/>
      <family val="2"/>
    </font>
    <font>
      <sz val="5"/>
      <name val="Arial"/>
      <family val="2"/>
    </font>
    <font>
      <b/>
      <i/>
      <sz val="5"/>
      <name val="Arial"/>
      <family val="2"/>
    </font>
    <font>
      <b/>
      <sz val="9"/>
      <name val="Arial"/>
      <family val="2"/>
    </font>
    <font>
      <b/>
      <i/>
      <sz val="8"/>
      <name val="Arial"/>
      <family val="2"/>
    </font>
    <font>
      <sz val="6"/>
      <name val="Arial"/>
      <family val="2"/>
    </font>
    <font>
      <sz val="7"/>
      <name val="Arial"/>
      <family val="2"/>
    </font>
    <font>
      <b/>
      <sz val="7"/>
      <name val="Arial"/>
      <family val="2"/>
    </font>
    <font>
      <sz val="5"/>
      <name val="Arial"/>
      <family val="2"/>
    </font>
    <font>
      <u/>
      <sz val="9"/>
      <name val="Arial"/>
      <family val="2"/>
    </font>
    <font>
      <b/>
      <u/>
      <sz val="8"/>
      <name val="Arial"/>
      <family val="2"/>
    </font>
    <font>
      <b/>
      <u/>
      <sz val="9"/>
      <name val="Arial"/>
      <family val="2"/>
    </font>
    <font>
      <b/>
      <sz val="10"/>
      <color rgb="FFFF0000"/>
      <name val="Arial"/>
      <family val="2"/>
    </font>
    <font>
      <sz val="10"/>
      <color rgb="FF2B2D31"/>
      <name val="Helvetica"/>
    </font>
  </fonts>
  <fills count="6">
    <fill>
      <patternFill patternType="none"/>
    </fill>
    <fill>
      <patternFill patternType="gray125"/>
    </fill>
    <fill>
      <patternFill patternType="solid">
        <fgColor indexed="22"/>
        <bgColor indexed="64"/>
      </patternFill>
    </fill>
    <fill>
      <patternFill patternType="solid">
        <fgColor indexed="8"/>
        <bgColor indexed="64"/>
      </patternFill>
    </fill>
    <fill>
      <patternFill patternType="solid">
        <fgColor theme="0"/>
        <bgColor indexed="64"/>
      </patternFill>
    </fill>
    <fill>
      <patternFill patternType="solid">
        <fgColor rgb="FFFFFF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style="medium">
        <color indexed="64"/>
      </right>
      <top/>
      <bottom style="thin">
        <color indexed="64"/>
      </bottom>
      <diagonal/>
    </border>
    <border>
      <left/>
      <right style="thin">
        <color indexed="64"/>
      </right>
      <top style="thin">
        <color indexed="64"/>
      </top>
      <bottom/>
      <diagonal/>
    </border>
    <border>
      <left style="medium">
        <color indexed="64"/>
      </left>
      <right/>
      <top style="thin">
        <color indexed="64"/>
      </top>
      <bottom/>
      <diagonal/>
    </border>
    <border>
      <left/>
      <right style="thin">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2">
    <xf numFmtId="0" fontId="0" fillId="0" borderId="0"/>
    <xf numFmtId="0" fontId="3" fillId="0" borderId="0"/>
  </cellStyleXfs>
  <cellXfs count="443">
    <xf numFmtId="0" fontId="0" fillId="0" borderId="0" xfId="0"/>
    <xf numFmtId="0" fontId="6" fillId="0" borderId="1" xfId="0" applyFont="1" applyBorder="1" applyAlignment="1">
      <alignment horizontal="center"/>
    </xf>
    <xf numFmtId="0" fontId="6" fillId="0" borderId="1" xfId="0" applyFont="1" applyBorder="1" applyAlignment="1">
      <alignment horizontal="center" vertical="top"/>
    </xf>
    <xf numFmtId="0" fontId="0" fillId="0" borderId="0" xfId="0" applyAlignment="1">
      <alignment horizontal="center"/>
    </xf>
    <xf numFmtId="0" fontId="6" fillId="0" borderId="3" xfId="0" applyFont="1" applyBorder="1" applyAlignment="1">
      <alignment horizontal="center"/>
    </xf>
    <xf numFmtId="0" fontId="6" fillId="0" borderId="4" xfId="0" applyFont="1" applyBorder="1" applyAlignment="1">
      <alignment horizontal="center" vertical="top"/>
    </xf>
    <xf numFmtId="0" fontId="5" fillId="0" borderId="0" xfId="0" applyFont="1"/>
    <xf numFmtId="0" fontId="12" fillId="0" borderId="0" xfId="0" applyFont="1"/>
    <xf numFmtId="0" fontId="12" fillId="0" borderId="0" xfId="0" applyFont="1" applyAlignment="1">
      <alignment horizontal="left"/>
    </xf>
    <xf numFmtId="3" fontId="0" fillId="0" borderId="1" xfId="0" applyNumberFormat="1" applyBorder="1" applyAlignment="1">
      <alignment horizontal="center"/>
    </xf>
    <xf numFmtId="0" fontId="0" fillId="0" borderId="1" xfId="0" applyBorder="1" applyAlignment="1">
      <alignment horizontal="center"/>
    </xf>
    <xf numFmtId="0" fontId="3" fillId="0" borderId="0" xfId="1"/>
    <xf numFmtId="0" fontId="3" fillId="0" borderId="2" xfId="1" applyBorder="1"/>
    <xf numFmtId="0" fontId="3" fillId="5" borderId="2" xfId="1" applyFill="1" applyBorder="1"/>
    <xf numFmtId="0" fontId="3" fillId="5" borderId="1" xfId="1" applyFill="1" applyBorder="1" applyAlignment="1">
      <alignment horizontal="center"/>
    </xf>
    <xf numFmtId="0" fontId="3" fillId="0" borderId="1" xfId="1" applyBorder="1" applyAlignment="1">
      <alignment horizontal="center"/>
    </xf>
    <xf numFmtId="3" fontId="3" fillId="0" borderId="1" xfId="1" applyNumberFormat="1" applyBorder="1" applyAlignment="1">
      <alignment horizontal="center"/>
    </xf>
    <xf numFmtId="0" fontId="3" fillId="2" borderId="0" xfId="1" applyFill="1"/>
    <xf numFmtId="0" fontId="6" fillId="0" borderId="3" xfId="1" applyFont="1" applyBorder="1" applyAlignment="1">
      <alignment horizontal="center"/>
    </xf>
    <xf numFmtId="0" fontId="6" fillId="0" borderId="1" xfId="1" applyFont="1" applyBorder="1" applyAlignment="1">
      <alignment horizontal="center"/>
    </xf>
    <xf numFmtId="0" fontId="6" fillId="0" borderId="1" xfId="1" applyFont="1" applyBorder="1" applyAlignment="1">
      <alignment horizontal="center" vertical="top"/>
    </xf>
    <xf numFmtId="0" fontId="6" fillId="0" borderId="4" xfId="1" applyFont="1" applyBorder="1" applyAlignment="1">
      <alignment horizontal="center" vertical="top"/>
    </xf>
    <xf numFmtId="0" fontId="3" fillId="5" borderId="3" xfId="1" applyFill="1" applyBorder="1" applyAlignment="1">
      <alignment horizontal="center"/>
    </xf>
    <xf numFmtId="3" fontId="3" fillId="5" borderId="1" xfId="1" applyNumberFormat="1" applyFill="1" applyBorder="1" applyAlignment="1">
      <alignment horizontal="center"/>
    </xf>
    <xf numFmtId="0" fontId="3" fillId="4" borderId="1" xfId="1" applyFill="1" applyBorder="1"/>
    <xf numFmtId="0" fontId="3" fillId="4" borderId="4" xfId="1" applyFill="1" applyBorder="1"/>
    <xf numFmtId="0" fontId="3" fillId="5" borderId="1" xfId="1" applyFill="1" applyBorder="1"/>
    <xf numFmtId="0" fontId="12" fillId="0" borderId="0" xfId="1" applyFont="1"/>
    <xf numFmtId="0" fontId="12" fillId="0" borderId="0" xfId="1" applyFont="1" applyAlignment="1">
      <alignment horizontal="left"/>
    </xf>
    <xf numFmtId="0" fontId="3" fillId="4" borderId="7" xfId="1" applyFill="1" applyBorder="1"/>
    <xf numFmtId="0" fontId="5" fillId="0" borderId="0" xfId="1" applyFont="1"/>
    <xf numFmtId="0" fontId="3" fillId="5" borderId="10" xfId="1" applyFill="1" applyBorder="1" applyAlignment="1">
      <alignment horizontal="center"/>
    </xf>
    <xf numFmtId="0" fontId="3" fillId="5" borderId="8" xfId="1" applyFill="1" applyBorder="1" applyAlignment="1">
      <alignment horizontal="center"/>
    </xf>
    <xf numFmtId="3" fontId="3" fillId="5" borderId="8" xfId="1" applyNumberFormat="1" applyFill="1" applyBorder="1" applyAlignment="1">
      <alignment horizontal="center"/>
    </xf>
    <xf numFmtId="0" fontId="3" fillId="5" borderId="8" xfId="1" applyFill="1" applyBorder="1"/>
    <xf numFmtId="0" fontId="3" fillId="4" borderId="8" xfId="1" applyFill="1" applyBorder="1"/>
    <xf numFmtId="0" fontId="3" fillId="4" borderId="9" xfId="1" applyFill="1" applyBorder="1"/>
    <xf numFmtId="0" fontId="15" fillId="5" borderId="11" xfId="1" applyFont="1" applyFill="1" applyBorder="1"/>
    <xf numFmtId="0" fontId="15" fillId="5" borderId="12" xfId="1" applyFont="1" applyFill="1" applyBorder="1"/>
    <xf numFmtId="0" fontId="3" fillId="5" borderId="13" xfId="1" applyFill="1" applyBorder="1"/>
    <xf numFmtId="0" fontId="3" fillId="5" borderId="0" xfId="1" applyFill="1"/>
    <xf numFmtId="0" fontId="3" fillId="5" borderId="14" xfId="1" applyFill="1" applyBorder="1"/>
    <xf numFmtId="0" fontId="12" fillId="5" borderId="0" xfId="1" applyFont="1" applyFill="1"/>
    <xf numFmtId="0" fontId="8" fillId="5" borderId="13" xfId="1" applyFont="1" applyFill="1" applyBorder="1" applyAlignment="1">
      <alignment vertical="center"/>
    </xf>
    <xf numFmtId="0" fontId="8" fillId="5" borderId="0" xfId="1" applyFont="1" applyFill="1" applyAlignment="1">
      <alignment vertical="center"/>
    </xf>
    <xf numFmtId="0" fontId="8" fillId="5" borderId="14" xfId="1" applyFont="1" applyFill="1" applyBorder="1" applyAlignment="1">
      <alignment vertical="center"/>
    </xf>
    <xf numFmtId="0" fontId="8" fillId="5" borderId="15" xfId="1" applyFont="1" applyFill="1" applyBorder="1" applyAlignment="1">
      <alignment vertical="center"/>
    </xf>
    <xf numFmtId="0" fontId="8" fillId="5" borderId="16" xfId="1" applyFont="1" applyFill="1" applyBorder="1" applyAlignment="1">
      <alignment vertical="center"/>
    </xf>
    <xf numFmtId="0" fontId="8" fillId="5" borderId="2" xfId="1" applyFont="1" applyFill="1" applyBorder="1" applyAlignment="1">
      <alignment vertical="center"/>
    </xf>
    <xf numFmtId="0" fontId="3" fillId="0" borderId="0" xfId="1" applyAlignment="1">
      <alignment horizontal="center"/>
    </xf>
    <xf numFmtId="0" fontId="3" fillId="2" borderId="5" xfId="1" applyFill="1" applyBorder="1"/>
    <xf numFmtId="0" fontId="3" fillId="2" borderId="6" xfId="1" applyFill="1" applyBorder="1"/>
    <xf numFmtId="0" fontId="3" fillId="0" borderId="0" xfId="0" applyFont="1"/>
    <xf numFmtId="0" fontId="6" fillId="5" borderId="11" xfId="1" applyFont="1" applyFill="1" applyBorder="1"/>
    <xf numFmtId="0" fontId="6" fillId="5" borderId="12" xfId="1" applyFont="1" applyFill="1" applyBorder="1"/>
    <xf numFmtId="0" fontId="6" fillId="5" borderId="17" xfId="1" applyFont="1" applyFill="1" applyBorder="1"/>
    <xf numFmtId="0" fontId="16" fillId="5" borderId="12" xfId="1" applyFont="1" applyFill="1" applyBorder="1"/>
    <xf numFmtId="0" fontId="3" fillId="5" borderId="15" xfId="1" applyFill="1" applyBorder="1"/>
    <xf numFmtId="0" fontId="3" fillId="5" borderId="16" xfId="1" applyFill="1" applyBorder="1"/>
    <xf numFmtId="0" fontId="1" fillId="5" borderId="11" xfId="1" applyFont="1" applyFill="1" applyBorder="1"/>
    <xf numFmtId="0" fontId="3" fillId="5" borderId="12" xfId="1" applyFill="1" applyBorder="1"/>
    <xf numFmtId="0" fontId="3" fillId="5" borderId="17" xfId="1" applyFill="1" applyBorder="1"/>
    <xf numFmtId="0" fontId="9" fillId="5" borderId="13" xfId="1" applyFont="1" applyFill="1" applyBorder="1"/>
    <xf numFmtId="0" fontId="9" fillId="5" borderId="0" xfId="1" applyFont="1" applyFill="1"/>
    <xf numFmtId="0" fontId="9" fillId="5" borderId="14" xfId="1" applyFont="1" applyFill="1" applyBorder="1"/>
    <xf numFmtId="0" fontId="3" fillId="5" borderId="30" xfId="1" applyFill="1" applyBorder="1" applyAlignment="1">
      <alignment vertical="center"/>
    </xf>
    <xf numFmtId="0" fontId="3" fillId="5" borderId="25" xfId="1" applyFill="1" applyBorder="1" applyAlignment="1">
      <alignment vertical="center"/>
    </xf>
    <xf numFmtId="0" fontId="3" fillId="5" borderId="13" xfId="1" applyFill="1" applyBorder="1" applyAlignment="1">
      <alignment vertical="center"/>
    </xf>
    <xf numFmtId="0" fontId="3" fillId="5" borderId="0" xfId="1" applyFill="1" applyAlignment="1">
      <alignment vertical="center"/>
    </xf>
    <xf numFmtId="0" fontId="3" fillId="5" borderId="14" xfId="1" applyFill="1" applyBorder="1" applyAlignment="1">
      <alignment vertical="center"/>
    </xf>
    <xf numFmtId="0" fontId="0" fillId="0" borderId="25" xfId="0" applyBorder="1"/>
    <xf numFmtId="0" fontId="0" fillId="0" borderId="25" xfId="0" applyBorder="1" applyAlignment="1">
      <alignment vertical="center"/>
    </xf>
    <xf numFmtId="0" fontId="0" fillId="0" borderId="26" xfId="0" applyBorder="1" applyAlignment="1">
      <alignment vertical="center"/>
    </xf>
    <xf numFmtId="0" fontId="3" fillId="0" borderId="13" xfId="0" applyFont="1" applyBorder="1" applyAlignment="1">
      <alignment vertical="center"/>
    </xf>
    <xf numFmtId="0" fontId="0" fillId="0" borderId="0" xfId="0" applyAlignment="1">
      <alignment vertical="center"/>
    </xf>
    <xf numFmtId="0" fontId="0" fillId="0" borderId="22" xfId="0" applyBorder="1" applyAlignment="1">
      <alignment vertical="center"/>
    </xf>
    <xf numFmtId="0" fontId="0" fillId="0" borderId="23" xfId="0" applyBorder="1" applyAlignment="1">
      <alignment vertical="center"/>
    </xf>
    <xf numFmtId="0" fontId="0" fillId="0" borderId="28" xfId="0" applyBorder="1" applyAlignment="1">
      <alignment vertical="center"/>
    </xf>
    <xf numFmtId="0" fontId="3" fillId="0" borderId="11" xfId="0" applyFont="1" applyBorder="1"/>
    <xf numFmtId="0" fontId="2" fillId="0" borderId="25" xfId="0" applyFont="1" applyBorder="1"/>
    <xf numFmtId="0" fontId="2" fillId="0" borderId="20" xfId="0" applyFont="1" applyBorder="1"/>
    <xf numFmtId="0" fontId="1" fillId="0" borderId="12" xfId="0" applyFont="1" applyBorder="1"/>
    <xf numFmtId="0" fontId="1" fillId="0" borderId="0" xfId="0" applyFont="1"/>
    <xf numFmtId="0" fontId="1" fillId="0" borderId="17" xfId="0" applyFont="1" applyBorder="1"/>
    <xf numFmtId="0" fontId="1" fillId="0" borderId="13" xfId="0" applyFont="1" applyBorder="1"/>
    <xf numFmtId="0" fontId="1" fillId="0" borderId="0" xfId="0" applyFont="1" applyAlignment="1">
      <alignment horizontal="right"/>
    </xf>
    <xf numFmtId="0" fontId="1" fillId="0" borderId="14" xfId="0" applyFont="1" applyBorder="1"/>
    <xf numFmtId="0" fontId="0" fillId="0" borderId="2" xfId="0" applyBorder="1"/>
    <xf numFmtId="0" fontId="6" fillId="0" borderId="11" xfId="0" applyFont="1" applyBorder="1"/>
    <xf numFmtId="0" fontId="6" fillId="0" borderId="12" xfId="0" applyFont="1" applyBorder="1"/>
    <xf numFmtId="0" fontId="16" fillId="0" borderId="12" xfId="0" applyFont="1" applyBorder="1"/>
    <xf numFmtId="0" fontId="6" fillId="0" borderId="17" xfId="0" applyFont="1" applyBorder="1"/>
    <xf numFmtId="0" fontId="3" fillId="0" borderId="30" xfId="0" applyFont="1" applyBorder="1"/>
    <xf numFmtId="0" fontId="3" fillId="0" borderId="25" xfId="0" applyFont="1" applyBorder="1"/>
    <xf numFmtId="0" fontId="3" fillId="0" borderId="13" xfId="0" applyFont="1" applyBorder="1"/>
    <xf numFmtId="0" fontId="0" fillId="0" borderId="14" xfId="0" applyBorder="1"/>
    <xf numFmtId="0" fontId="3" fillId="0" borderId="15" xfId="0" applyFont="1" applyBorder="1"/>
    <xf numFmtId="0" fontId="0" fillId="0" borderId="16" xfId="0" applyBorder="1"/>
    <xf numFmtId="0" fontId="0" fillId="0" borderId="13" xfId="0" applyBorder="1"/>
    <xf numFmtId="0" fontId="1" fillId="0" borderId="11" xfId="0" applyFont="1" applyBorder="1"/>
    <xf numFmtId="0" fontId="0" fillId="0" borderId="12" xfId="0" applyBorder="1"/>
    <xf numFmtId="0" fontId="0" fillId="0" borderId="17" xfId="0" applyBorder="1"/>
    <xf numFmtId="0" fontId="9" fillId="0" borderId="0" xfId="0" applyFont="1"/>
    <xf numFmtId="0" fontId="9" fillId="0" borderId="14" xfId="0" applyFont="1" applyBorder="1"/>
    <xf numFmtId="0" fontId="3" fillId="0" borderId="1" xfId="0" applyFont="1" applyBorder="1" applyAlignment="1">
      <alignment horizontal="center"/>
    </xf>
    <xf numFmtId="3" fontId="0" fillId="0" borderId="3" xfId="0" applyNumberFormat="1" applyBorder="1" applyAlignment="1">
      <alignment horizontal="center"/>
    </xf>
    <xf numFmtId="0" fontId="0" fillId="0" borderId="1" xfId="0" applyBorder="1"/>
    <xf numFmtId="0" fontId="0" fillId="0" borderId="4" xfId="0" applyBorder="1"/>
    <xf numFmtId="0" fontId="0" fillId="0" borderId="3" xfId="0" applyBorder="1" applyAlignment="1">
      <alignment horizontal="center"/>
    </xf>
    <xf numFmtId="0" fontId="0" fillId="0" borderId="7" xfId="0" applyBorder="1"/>
    <xf numFmtId="3" fontId="0" fillId="0" borderId="10" xfId="0" applyNumberFormat="1" applyBorder="1" applyAlignment="1">
      <alignment horizontal="center"/>
    </xf>
    <xf numFmtId="0" fontId="0" fillId="0" borderId="8" xfId="0" applyBorder="1" applyAlignment="1">
      <alignment horizontal="center"/>
    </xf>
    <xf numFmtId="3" fontId="0" fillId="0" borderId="8" xfId="0" applyNumberFormat="1" applyBorder="1" applyAlignment="1">
      <alignment horizontal="center"/>
    </xf>
    <xf numFmtId="0" fontId="0" fillId="0" borderId="8" xfId="0" applyBorder="1"/>
    <xf numFmtId="0" fontId="0" fillId="0" borderId="9" xfId="0" applyBorder="1"/>
    <xf numFmtId="0" fontId="15" fillId="0" borderId="11" xfId="0" applyFont="1" applyBorder="1"/>
    <xf numFmtId="0" fontId="15" fillId="0" borderId="12" xfId="0" applyFont="1" applyBorder="1"/>
    <xf numFmtId="0" fontId="8" fillId="0" borderId="13" xfId="0" applyFont="1" applyBorder="1" applyAlignment="1">
      <alignment vertical="center"/>
    </xf>
    <xf numFmtId="0" fontId="8" fillId="0" borderId="0" xfId="0" applyFont="1" applyAlignment="1">
      <alignment vertical="center"/>
    </xf>
    <xf numFmtId="0" fontId="8" fillId="0" borderId="14" xfId="0" applyFont="1" applyBorder="1" applyAlignment="1">
      <alignment vertical="center"/>
    </xf>
    <xf numFmtId="0" fontId="0" fillId="0" borderId="15" xfId="0" applyBorder="1"/>
    <xf numFmtId="0" fontId="8" fillId="0" borderId="15" xfId="0" applyFont="1" applyBorder="1" applyAlignment="1">
      <alignment vertical="center"/>
    </xf>
    <xf numFmtId="0" fontId="8" fillId="0" borderId="16" xfId="0" applyFont="1" applyBorder="1" applyAlignment="1">
      <alignment vertical="center"/>
    </xf>
    <xf numFmtId="0" fontId="8" fillId="0" borderId="2" xfId="0" applyFont="1" applyBorder="1" applyAlignment="1">
      <alignment vertical="center"/>
    </xf>
    <xf numFmtId="0" fontId="3" fillId="5" borderId="25" xfId="0" applyFont="1" applyFill="1" applyBorder="1"/>
    <xf numFmtId="0" fontId="12" fillId="5" borderId="0" xfId="1" applyFont="1" applyFill="1" applyAlignment="1">
      <alignment horizontal="left"/>
    </xf>
    <xf numFmtId="0" fontId="12" fillId="5" borderId="14" xfId="1" applyFont="1" applyFill="1" applyBorder="1" applyAlignment="1">
      <alignment horizontal="left"/>
    </xf>
    <xf numFmtId="0" fontId="5" fillId="5" borderId="15" xfId="1" applyFont="1" applyFill="1" applyBorder="1" applyAlignment="1">
      <alignment horizontal="center"/>
    </xf>
    <xf numFmtId="0" fontId="5" fillId="5" borderId="16" xfId="1" applyFont="1" applyFill="1" applyBorder="1" applyAlignment="1">
      <alignment horizontal="center"/>
    </xf>
    <xf numFmtId="0" fontId="5" fillId="5" borderId="2" xfId="1" applyFont="1" applyFill="1" applyBorder="1" applyAlignment="1">
      <alignment horizontal="center"/>
    </xf>
    <xf numFmtId="0" fontId="3" fillId="5" borderId="25" xfId="1" applyFill="1" applyBorder="1" applyAlignment="1">
      <alignment horizontal="center" vertical="center"/>
    </xf>
    <xf numFmtId="0" fontId="3" fillId="5" borderId="26" xfId="1" applyFill="1" applyBorder="1" applyAlignment="1">
      <alignment horizontal="center" vertical="center"/>
    </xf>
    <xf numFmtId="0" fontId="7" fillId="5" borderId="13" xfId="1" applyFont="1" applyFill="1" applyBorder="1" applyAlignment="1">
      <alignment horizontal="left" wrapText="1"/>
    </xf>
    <xf numFmtId="0" fontId="7" fillId="5" borderId="0" xfId="1" applyFont="1" applyFill="1" applyAlignment="1">
      <alignment horizontal="left" wrapText="1"/>
    </xf>
    <xf numFmtId="0" fontId="7" fillId="5" borderId="14" xfId="1" applyFont="1" applyFill="1" applyBorder="1" applyAlignment="1">
      <alignment horizontal="left" wrapText="1"/>
    </xf>
    <xf numFmtId="0" fontId="12" fillId="5" borderId="13" xfId="1" applyFont="1" applyFill="1" applyBorder="1" applyAlignment="1">
      <alignment horizontal="center"/>
    </xf>
    <xf numFmtId="0" fontId="12" fillId="5" borderId="0" xfId="1" applyFont="1" applyFill="1" applyAlignment="1">
      <alignment horizontal="center"/>
    </xf>
    <xf numFmtId="0" fontId="3" fillId="5" borderId="13" xfId="1" applyFill="1" applyBorder="1" applyAlignment="1">
      <alignment horizontal="center"/>
    </xf>
    <xf numFmtId="0" fontId="3" fillId="5" borderId="0" xfId="1" applyFill="1" applyAlignment="1">
      <alignment horizontal="center"/>
    </xf>
    <xf numFmtId="0" fontId="3" fillId="5" borderId="14" xfId="1" applyFill="1" applyBorder="1" applyAlignment="1">
      <alignment horizontal="center"/>
    </xf>
    <xf numFmtId="0" fontId="3" fillId="5" borderId="15" xfId="1" applyFill="1" applyBorder="1" applyAlignment="1">
      <alignment horizontal="center"/>
    </xf>
    <xf numFmtId="0" fontId="3" fillId="5" borderId="16" xfId="1" applyFill="1" applyBorder="1" applyAlignment="1">
      <alignment horizontal="center"/>
    </xf>
    <xf numFmtId="0" fontId="3" fillId="5" borderId="2" xfId="1" applyFill="1" applyBorder="1" applyAlignment="1">
      <alignment horizontal="center"/>
    </xf>
    <xf numFmtId="0" fontId="8" fillId="5" borderId="0" xfId="1" applyFont="1" applyFill="1" applyAlignment="1">
      <alignment horizontal="center" vertical="center"/>
    </xf>
    <xf numFmtId="0" fontId="8" fillId="5" borderId="14" xfId="1" applyFont="1" applyFill="1" applyBorder="1" applyAlignment="1">
      <alignment horizontal="center" vertical="center"/>
    </xf>
    <xf numFmtId="0" fontId="9" fillId="4" borderId="11" xfId="1" applyFont="1" applyFill="1" applyBorder="1" applyAlignment="1">
      <alignment horizontal="center"/>
    </xf>
    <xf numFmtId="0" fontId="9" fillId="4" borderId="12" xfId="1" applyFont="1" applyFill="1" applyBorder="1" applyAlignment="1">
      <alignment horizontal="center"/>
    </xf>
    <xf numFmtId="0" fontId="9" fillId="4" borderId="17" xfId="1" applyFont="1" applyFill="1" applyBorder="1" applyAlignment="1">
      <alignment horizontal="center"/>
    </xf>
    <xf numFmtId="0" fontId="11" fillId="4" borderId="11" xfId="1" applyFont="1" applyFill="1" applyBorder="1" applyAlignment="1">
      <alignment horizontal="left" wrapText="1"/>
    </xf>
    <xf numFmtId="0" fontId="11" fillId="4" borderId="12" xfId="1" applyFont="1" applyFill="1" applyBorder="1" applyAlignment="1">
      <alignment horizontal="left" wrapText="1"/>
    </xf>
    <xf numFmtId="0" fontId="11" fillId="4" borderId="17" xfId="1" applyFont="1" applyFill="1" applyBorder="1" applyAlignment="1">
      <alignment horizontal="left" wrapText="1"/>
    </xf>
    <xf numFmtId="0" fontId="11" fillId="4" borderId="13" xfId="1" applyFont="1" applyFill="1" applyBorder="1" applyAlignment="1">
      <alignment horizontal="left" wrapText="1"/>
    </xf>
    <xf numFmtId="0" fontId="11" fillId="4" borderId="0" xfId="1" applyFont="1" applyFill="1" applyAlignment="1">
      <alignment horizontal="left" wrapText="1"/>
    </xf>
    <xf numFmtId="0" fontId="11" fillId="4" borderId="14" xfId="1" applyFont="1" applyFill="1" applyBorder="1" applyAlignment="1">
      <alignment horizontal="left" wrapText="1"/>
    </xf>
    <xf numFmtId="0" fontId="11" fillId="4" borderId="15" xfId="1" applyFont="1" applyFill="1" applyBorder="1" applyAlignment="1">
      <alignment horizontal="left" wrapText="1"/>
    </xf>
    <xf numFmtId="0" fontId="11" fillId="4" borderId="16" xfId="1" applyFont="1" applyFill="1" applyBorder="1" applyAlignment="1">
      <alignment horizontal="left" wrapText="1"/>
    </xf>
    <xf numFmtId="0" fontId="12" fillId="4" borderId="11" xfId="1" applyFont="1" applyFill="1" applyBorder="1" applyAlignment="1">
      <alignment horizontal="left" vertical="top" wrapText="1"/>
    </xf>
    <xf numFmtId="0" fontId="12" fillId="4" borderId="12" xfId="1" applyFont="1" applyFill="1" applyBorder="1" applyAlignment="1">
      <alignment horizontal="left" vertical="top" wrapText="1"/>
    </xf>
    <xf numFmtId="0" fontId="12" fillId="4" borderId="17" xfId="1" applyFont="1" applyFill="1" applyBorder="1" applyAlignment="1">
      <alignment horizontal="left" vertical="top" wrapText="1"/>
    </xf>
    <xf numFmtId="0" fontId="12" fillId="4" borderId="13" xfId="1" applyFont="1" applyFill="1" applyBorder="1" applyAlignment="1">
      <alignment horizontal="left" vertical="top" wrapText="1"/>
    </xf>
    <xf numFmtId="0" fontId="12" fillId="4" borderId="0" xfId="1" applyFont="1" applyFill="1" applyAlignment="1">
      <alignment horizontal="left" vertical="top" wrapText="1"/>
    </xf>
    <xf numFmtId="0" fontId="12" fillId="4" borderId="14" xfId="1" applyFont="1" applyFill="1" applyBorder="1" applyAlignment="1">
      <alignment horizontal="left" vertical="top" wrapText="1"/>
    </xf>
    <xf numFmtId="0" fontId="13" fillId="4" borderId="13" xfId="1" applyFont="1" applyFill="1" applyBorder="1" applyAlignment="1">
      <alignment horizontal="center"/>
    </xf>
    <xf numFmtId="0" fontId="13" fillId="4" borderId="0" xfId="1" applyFont="1" applyFill="1" applyAlignment="1">
      <alignment horizontal="center"/>
    </xf>
    <xf numFmtId="0" fontId="13" fillId="4" borderId="16" xfId="1" applyFont="1" applyFill="1" applyBorder="1" applyAlignment="1">
      <alignment horizontal="center"/>
    </xf>
    <xf numFmtId="0" fontId="13" fillId="4" borderId="2" xfId="1" applyFont="1" applyFill="1" applyBorder="1" applyAlignment="1">
      <alignment horizontal="center"/>
    </xf>
    <xf numFmtId="0" fontId="9" fillId="5" borderId="11" xfId="1" applyFont="1" applyFill="1" applyBorder="1" applyAlignment="1">
      <alignment horizontal="center"/>
    </xf>
    <xf numFmtId="0" fontId="9" fillId="5" borderId="12" xfId="1" applyFont="1" applyFill="1" applyBorder="1" applyAlignment="1">
      <alignment horizontal="center"/>
    </xf>
    <xf numFmtId="0" fontId="15" fillId="5" borderId="12" xfId="1" applyFont="1" applyFill="1" applyBorder="1" applyAlignment="1">
      <alignment horizontal="left"/>
    </xf>
    <xf numFmtId="0" fontId="15" fillId="5" borderId="17" xfId="1" applyFont="1" applyFill="1" applyBorder="1" applyAlignment="1">
      <alignment horizontal="left"/>
    </xf>
    <xf numFmtId="0" fontId="9" fillId="5" borderId="17" xfId="1" applyFont="1" applyFill="1" applyBorder="1" applyAlignment="1">
      <alignment horizontal="center"/>
    </xf>
    <xf numFmtId="0" fontId="3" fillId="5" borderId="5" xfId="1" applyFill="1" applyBorder="1" applyAlignment="1">
      <alignment horizontal="center"/>
    </xf>
    <xf numFmtId="0" fontId="3" fillId="5" borderId="6" xfId="1" applyFill="1" applyBorder="1" applyAlignment="1">
      <alignment horizontal="center"/>
    </xf>
    <xf numFmtId="0" fontId="3" fillId="5" borderId="18" xfId="1" applyFill="1" applyBorder="1" applyAlignment="1">
      <alignment horizontal="center"/>
    </xf>
    <xf numFmtId="0" fontId="1" fillId="5" borderId="19" xfId="1" applyFont="1" applyFill="1" applyBorder="1" applyAlignment="1">
      <alignment horizontal="center"/>
    </xf>
    <xf numFmtId="0" fontId="1" fillId="5" borderId="20" xfId="1" applyFont="1" applyFill="1" applyBorder="1" applyAlignment="1">
      <alignment horizontal="center"/>
    </xf>
    <xf numFmtId="0" fontId="1" fillId="5" borderId="21" xfId="1" applyFont="1" applyFill="1" applyBorder="1" applyAlignment="1">
      <alignment horizontal="center"/>
    </xf>
    <xf numFmtId="0" fontId="1" fillId="4" borderId="11" xfId="1" applyFont="1" applyFill="1" applyBorder="1" applyAlignment="1">
      <alignment horizontal="center"/>
    </xf>
    <xf numFmtId="0" fontId="1" fillId="4" borderId="12" xfId="1" applyFont="1" applyFill="1" applyBorder="1" applyAlignment="1">
      <alignment horizontal="center"/>
    </xf>
    <xf numFmtId="0" fontId="1" fillId="4" borderId="17" xfId="1" applyFont="1" applyFill="1" applyBorder="1" applyAlignment="1">
      <alignment horizontal="center"/>
    </xf>
    <xf numFmtId="0" fontId="1" fillId="4" borderId="13" xfId="1" applyFont="1" applyFill="1" applyBorder="1" applyAlignment="1">
      <alignment horizontal="center"/>
    </xf>
    <xf numFmtId="0" fontId="1" fillId="4" borderId="0" xfId="1" applyFont="1" applyFill="1" applyAlignment="1">
      <alignment horizontal="center"/>
    </xf>
    <xf numFmtId="0" fontId="1" fillId="4" borderId="14" xfId="1" applyFont="1" applyFill="1" applyBorder="1" applyAlignment="1">
      <alignment horizontal="center"/>
    </xf>
    <xf numFmtId="0" fontId="11" fillId="4" borderId="13" xfId="1" applyFont="1" applyFill="1" applyBorder="1" applyAlignment="1">
      <alignment horizontal="left"/>
    </xf>
    <xf numFmtId="0" fontId="11" fillId="4" borderId="0" xfId="1" applyFont="1" applyFill="1" applyAlignment="1">
      <alignment horizontal="left"/>
    </xf>
    <xf numFmtId="0" fontId="11" fillId="4" borderId="14" xfId="1" applyFont="1" applyFill="1" applyBorder="1" applyAlignment="1">
      <alignment horizontal="left"/>
    </xf>
    <xf numFmtId="0" fontId="9" fillId="4" borderId="13" xfId="1" applyFont="1" applyFill="1" applyBorder="1" applyAlignment="1">
      <alignment horizontal="center"/>
    </xf>
    <xf numFmtId="0" fontId="9" fillId="4" borderId="0" xfId="1" applyFont="1" applyFill="1" applyAlignment="1">
      <alignment horizontal="center"/>
    </xf>
    <xf numFmtId="0" fontId="9" fillId="4" borderId="14" xfId="1" applyFont="1" applyFill="1" applyBorder="1" applyAlignment="1">
      <alignment horizontal="center"/>
    </xf>
    <xf numFmtId="0" fontId="11" fillId="4" borderId="15" xfId="1" applyFont="1" applyFill="1" applyBorder="1" applyAlignment="1">
      <alignment horizontal="left"/>
    </xf>
    <xf numFmtId="0" fontId="11" fillId="4" borderId="16" xfId="1" applyFont="1" applyFill="1" applyBorder="1" applyAlignment="1">
      <alignment horizontal="left"/>
    </xf>
    <xf numFmtId="0" fontId="11" fillId="4" borderId="2" xfId="1" applyFont="1" applyFill="1" applyBorder="1" applyAlignment="1">
      <alignment horizontal="left"/>
    </xf>
    <xf numFmtId="0" fontId="9" fillId="4" borderId="15" xfId="1" applyFont="1" applyFill="1" applyBorder="1" applyAlignment="1">
      <alignment horizontal="center"/>
    </xf>
    <xf numFmtId="0" fontId="9" fillId="4" borderId="16" xfId="1" applyFont="1" applyFill="1" applyBorder="1" applyAlignment="1">
      <alignment horizontal="center"/>
    </xf>
    <xf numFmtId="0" fontId="9" fillId="4" borderId="2" xfId="1" applyFont="1" applyFill="1" applyBorder="1" applyAlignment="1">
      <alignment horizontal="center"/>
    </xf>
    <xf numFmtId="0" fontId="12" fillId="0" borderId="0" xfId="1" applyFont="1" applyAlignment="1">
      <alignment horizontal="left"/>
    </xf>
    <xf numFmtId="0" fontId="12" fillId="0" borderId="0" xfId="1" applyFont="1" applyAlignment="1">
      <alignment horizontal="center"/>
    </xf>
    <xf numFmtId="0" fontId="5" fillId="0" borderId="0" xfId="1" applyFont="1" applyAlignment="1">
      <alignment horizontal="center"/>
    </xf>
    <xf numFmtId="0" fontId="7" fillId="0" borderId="1" xfId="1" applyFont="1" applyBorder="1" applyAlignment="1">
      <alignment horizontal="center" wrapText="1" shrinkToFit="1"/>
    </xf>
    <xf numFmtId="0" fontId="1" fillId="0" borderId="3" xfId="1" applyFont="1" applyBorder="1" applyAlignment="1">
      <alignment horizontal="left"/>
    </xf>
    <xf numFmtId="0" fontId="1" fillId="0" borderId="1" xfId="1" applyFont="1" applyBorder="1" applyAlignment="1">
      <alignment horizontal="left"/>
    </xf>
    <xf numFmtId="3" fontId="3" fillId="0" borderId="1" xfId="1" applyNumberFormat="1" applyBorder="1" applyAlignment="1">
      <alignment horizontal="center"/>
    </xf>
    <xf numFmtId="0" fontId="3" fillId="0" borderId="1" xfId="1" applyBorder="1" applyAlignment="1">
      <alignment horizontal="center"/>
    </xf>
    <xf numFmtId="0" fontId="3" fillId="2" borderId="0" xfId="1" applyFill="1" applyAlignment="1">
      <alignment horizontal="center"/>
    </xf>
    <xf numFmtId="0" fontId="3" fillId="2" borderId="14" xfId="1" applyFill="1" applyBorder="1" applyAlignment="1">
      <alignment horizontal="center"/>
    </xf>
    <xf numFmtId="0" fontId="4" fillId="3" borderId="13" xfId="1" applyFont="1" applyFill="1" applyBorder="1" applyAlignment="1">
      <alignment horizontal="center"/>
    </xf>
    <xf numFmtId="0" fontId="4" fillId="3" borderId="0" xfId="1" applyFont="1" applyFill="1" applyAlignment="1">
      <alignment horizontal="center"/>
    </xf>
    <xf numFmtId="0" fontId="4" fillId="3" borderId="14" xfId="1" applyFont="1" applyFill="1" applyBorder="1" applyAlignment="1">
      <alignment horizontal="center"/>
    </xf>
    <xf numFmtId="0" fontId="6" fillId="0" borderId="3" xfId="1" applyFont="1" applyBorder="1" applyAlignment="1">
      <alignment horizontal="center"/>
    </xf>
    <xf numFmtId="0" fontId="6" fillId="0" borderId="1" xfId="1" applyFont="1" applyBorder="1" applyAlignment="1">
      <alignment horizontal="center"/>
    </xf>
    <xf numFmtId="0" fontId="1" fillId="0" borderId="1" xfId="1" applyFont="1" applyBorder="1" applyAlignment="1">
      <alignment horizontal="center" vertical="center"/>
    </xf>
    <xf numFmtId="0" fontId="6" fillId="0" borderId="1" xfId="1" applyFont="1" applyBorder="1" applyAlignment="1">
      <alignment horizontal="center" wrapText="1"/>
    </xf>
    <xf numFmtId="0" fontId="1" fillId="0" borderId="1" xfId="1" applyFont="1" applyBorder="1" applyAlignment="1">
      <alignment horizontal="center"/>
    </xf>
    <xf numFmtId="0" fontId="6" fillId="0" borderId="4" xfId="1" applyFont="1" applyBorder="1" applyAlignment="1">
      <alignment horizontal="center"/>
    </xf>
    <xf numFmtId="49" fontId="3" fillId="5" borderId="1" xfId="1" applyNumberFormat="1" applyFill="1" applyBorder="1" applyAlignment="1">
      <alignment horizontal="center"/>
    </xf>
    <xf numFmtId="49" fontId="3" fillId="5" borderId="5" xfId="1" applyNumberFormat="1" applyFill="1" applyBorder="1" applyAlignment="1">
      <alignment horizontal="center"/>
    </xf>
    <xf numFmtId="0" fontId="3" fillId="5" borderId="1" xfId="1" applyFill="1" applyBorder="1" applyAlignment="1">
      <alignment horizontal="center"/>
    </xf>
    <xf numFmtId="0" fontId="3" fillId="0" borderId="4" xfId="1" applyBorder="1" applyAlignment="1">
      <alignment horizontal="center"/>
    </xf>
    <xf numFmtId="0" fontId="1" fillId="0" borderId="3" xfId="1" applyFont="1" applyBorder="1" applyAlignment="1">
      <alignment horizontal="center" vertical="top"/>
    </xf>
    <xf numFmtId="0" fontId="1" fillId="0" borderId="1" xfId="1" applyFont="1" applyBorder="1" applyAlignment="1">
      <alignment horizontal="center" vertical="top"/>
    </xf>
    <xf numFmtId="0" fontId="6" fillId="0" borderId="24" xfId="1" applyFont="1" applyBorder="1" applyAlignment="1">
      <alignment horizontal="center"/>
    </xf>
    <xf numFmtId="0" fontId="6" fillId="0" borderId="29" xfId="1" applyFont="1" applyBorder="1" applyAlignment="1">
      <alignment horizontal="center"/>
    </xf>
    <xf numFmtId="0" fontId="1" fillId="0" borderId="24" xfId="1" applyFont="1" applyBorder="1" applyAlignment="1">
      <alignment horizontal="center" vertical="top"/>
    </xf>
    <xf numFmtId="0" fontId="1" fillId="0" borderId="25" xfId="1" applyFont="1" applyBorder="1" applyAlignment="1">
      <alignment horizontal="center" vertical="top"/>
    </xf>
    <xf numFmtId="0" fontId="1" fillId="0" borderId="26" xfId="1" applyFont="1" applyBorder="1" applyAlignment="1">
      <alignment horizontal="center" vertical="top"/>
    </xf>
    <xf numFmtId="0" fontId="1" fillId="0" borderId="27" xfId="1" applyFont="1" applyBorder="1" applyAlignment="1">
      <alignment horizontal="center" vertical="top"/>
    </xf>
    <xf numFmtId="0" fontId="1" fillId="0" borderId="23" xfId="1" applyFont="1" applyBorder="1" applyAlignment="1">
      <alignment horizontal="center" vertical="top"/>
    </xf>
    <xf numFmtId="0" fontId="1" fillId="0" borderId="28" xfId="1" applyFont="1" applyBorder="1" applyAlignment="1">
      <alignment horizontal="center" vertical="top"/>
    </xf>
    <xf numFmtId="0" fontId="11" fillId="0" borderId="27" xfId="1" applyFont="1" applyBorder="1" applyAlignment="1">
      <alignment horizontal="center"/>
    </xf>
    <xf numFmtId="0" fontId="11" fillId="0" borderId="31" xfId="1" applyFont="1" applyBorder="1" applyAlignment="1">
      <alignment horizontal="center"/>
    </xf>
    <xf numFmtId="0" fontId="3" fillId="0" borderId="22" xfId="1" applyBorder="1" applyAlignment="1">
      <alignment horizontal="left" vertical="top"/>
    </xf>
    <xf numFmtId="0" fontId="3" fillId="0" borderId="23" xfId="1" applyBorder="1" applyAlignment="1">
      <alignment horizontal="left" vertical="top"/>
    </xf>
    <xf numFmtId="0" fontId="1" fillId="0" borderId="11" xfId="1" applyFont="1" applyBorder="1" applyAlignment="1">
      <alignment horizontal="left" wrapText="1"/>
    </xf>
    <xf numFmtId="0" fontId="1" fillId="0" borderId="12" xfId="1" applyFont="1" applyBorder="1" applyAlignment="1">
      <alignment horizontal="left" wrapText="1"/>
    </xf>
    <xf numFmtId="0" fontId="1" fillId="0" borderId="17" xfId="1" applyFont="1" applyBorder="1" applyAlignment="1">
      <alignment horizontal="left" wrapText="1"/>
    </xf>
    <xf numFmtId="0" fontId="9" fillId="5" borderId="22" xfId="1" applyFont="1" applyFill="1" applyBorder="1" applyAlignment="1">
      <alignment horizontal="center"/>
    </xf>
    <xf numFmtId="0" fontId="9" fillId="5" borderId="23" xfId="1" applyFont="1" applyFill="1" applyBorder="1" applyAlignment="1">
      <alignment horizontal="center"/>
    </xf>
    <xf numFmtId="0" fontId="9" fillId="5" borderId="28" xfId="1" applyFont="1" applyFill="1" applyBorder="1" applyAlignment="1">
      <alignment horizontal="center"/>
    </xf>
    <xf numFmtId="0" fontId="3" fillId="4" borderId="13" xfId="1" applyFill="1" applyBorder="1" applyAlignment="1">
      <alignment horizontal="center"/>
    </xf>
    <xf numFmtId="0" fontId="3" fillId="4" borderId="0" xfId="1" applyFill="1" applyAlignment="1">
      <alignment horizontal="center"/>
    </xf>
    <xf numFmtId="0" fontId="5" fillId="4" borderId="0" xfId="1" applyFont="1" applyFill="1" applyAlignment="1">
      <alignment horizontal="left" wrapText="1"/>
    </xf>
    <xf numFmtId="0" fontId="5" fillId="4" borderId="14" xfId="1" applyFont="1" applyFill="1" applyBorder="1" applyAlignment="1">
      <alignment horizontal="left" wrapText="1"/>
    </xf>
    <xf numFmtId="0" fontId="5" fillId="4" borderId="16" xfId="1" applyFont="1" applyFill="1" applyBorder="1" applyAlignment="1">
      <alignment horizontal="left" wrapText="1"/>
    </xf>
    <xf numFmtId="0" fontId="5" fillId="4" borderId="2" xfId="1" applyFont="1" applyFill="1" applyBorder="1" applyAlignment="1">
      <alignment horizontal="left" wrapText="1"/>
    </xf>
    <xf numFmtId="0" fontId="5" fillId="4" borderId="15" xfId="1" applyFont="1" applyFill="1" applyBorder="1" applyAlignment="1">
      <alignment horizontal="center"/>
    </xf>
    <xf numFmtId="0" fontId="5" fillId="4" borderId="16" xfId="1" applyFont="1" applyFill="1" applyBorder="1" applyAlignment="1">
      <alignment horizontal="center"/>
    </xf>
    <xf numFmtId="0" fontId="3" fillId="5" borderId="15" xfId="1" applyFill="1" applyBorder="1" applyAlignment="1">
      <alignment horizontal="left"/>
    </xf>
    <xf numFmtId="0" fontId="3" fillId="5" borderId="16" xfId="1" applyFill="1" applyBorder="1" applyAlignment="1">
      <alignment horizontal="left"/>
    </xf>
    <xf numFmtId="0" fontId="3" fillId="5" borderId="16" xfId="1" applyFill="1" applyBorder="1" applyAlignment="1">
      <alignment horizontal="right"/>
    </xf>
    <xf numFmtId="0" fontId="4" fillId="3" borderId="11" xfId="1" applyFont="1" applyFill="1" applyBorder="1" applyAlignment="1">
      <alignment horizontal="center"/>
    </xf>
    <xf numFmtId="0" fontId="4" fillId="3" borderId="12" xfId="1" applyFont="1" applyFill="1" applyBorder="1" applyAlignment="1">
      <alignment horizontal="center"/>
    </xf>
    <xf numFmtId="0" fontId="4" fillId="3" borderId="17" xfId="1" applyFont="1" applyFill="1" applyBorder="1" applyAlignment="1">
      <alignment horizontal="center"/>
    </xf>
    <xf numFmtId="0" fontId="3" fillId="0" borderId="13" xfId="1" applyBorder="1" applyAlignment="1">
      <alignment horizontal="center" vertical="center"/>
    </xf>
    <xf numFmtId="0" fontId="3" fillId="0" borderId="0" xfId="1" applyAlignment="1">
      <alignment horizontal="center" vertical="center"/>
    </xf>
    <xf numFmtId="0" fontId="3" fillId="0" borderId="14" xfId="1" applyBorder="1" applyAlignment="1">
      <alignment horizontal="center" vertical="center"/>
    </xf>
    <xf numFmtId="0" fontId="3" fillId="0" borderId="15" xfId="1" applyBorder="1" applyAlignment="1">
      <alignment horizontal="center" vertical="center"/>
    </xf>
    <xf numFmtId="0" fontId="3" fillId="0" borderId="16" xfId="1" applyBorder="1" applyAlignment="1">
      <alignment horizontal="center" vertical="center"/>
    </xf>
    <xf numFmtId="0" fontId="3" fillId="0" borderId="2" xfId="1" applyBorder="1" applyAlignment="1">
      <alignment horizontal="center" vertical="center"/>
    </xf>
    <xf numFmtId="0" fontId="3" fillId="0" borderId="11" xfId="1" applyBorder="1" applyAlignment="1">
      <alignment horizontal="left"/>
    </xf>
    <xf numFmtId="0" fontId="3" fillId="0" borderId="12" xfId="1" applyBorder="1" applyAlignment="1">
      <alignment horizontal="left"/>
    </xf>
    <xf numFmtId="0" fontId="3" fillId="0" borderId="17" xfId="1" applyBorder="1" applyAlignment="1">
      <alignment horizontal="left"/>
    </xf>
    <xf numFmtId="0" fontId="3" fillId="0" borderId="13" xfId="1" applyBorder="1" applyAlignment="1">
      <alignment horizontal="left"/>
    </xf>
    <xf numFmtId="0" fontId="3" fillId="0" borderId="0" xfId="1" applyAlignment="1">
      <alignment horizontal="left"/>
    </xf>
    <xf numFmtId="0" fontId="3" fillId="0" borderId="14" xfId="1" applyBorder="1" applyAlignment="1">
      <alignment horizontal="left"/>
    </xf>
    <xf numFmtId="0" fontId="3" fillId="5" borderId="13" xfId="1" applyFill="1" applyBorder="1" applyAlignment="1">
      <alignment horizontal="left"/>
    </xf>
    <xf numFmtId="0" fontId="3" fillId="5" borderId="0" xfId="1" applyFill="1" applyAlignment="1">
      <alignment horizontal="left"/>
    </xf>
    <xf numFmtId="0" fontId="3" fillId="5" borderId="14" xfId="1" applyFill="1" applyBorder="1" applyAlignment="1">
      <alignment horizontal="left"/>
    </xf>
    <xf numFmtId="0" fontId="3" fillId="0" borderId="15" xfId="1" applyBorder="1" applyAlignment="1">
      <alignment horizontal="left"/>
    </xf>
    <xf numFmtId="0" fontId="3" fillId="0" borderId="16" xfId="1" applyBorder="1" applyAlignment="1">
      <alignment horizontal="left"/>
    </xf>
    <xf numFmtId="0" fontId="3" fillId="0" borderId="16" xfId="1" applyBorder="1" applyAlignment="1">
      <alignment horizontal="right"/>
    </xf>
    <xf numFmtId="0" fontId="3" fillId="5" borderId="34" xfId="1" applyFill="1" applyBorder="1" applyAlignment="1">
      <alignment horizontal="left"/>
    </xf>
    <xf numFmtId="0" fontId="3" fillId="5" borderId="32" xfId="1" applyFill="1" applyBorder="1" applyAlignment="1">
      <alignment horizontal="left"/>
    </xf>
    <xf numFmtId="0" fontId="2" fillId="0" borderId="32" xfId="1" applyFont="1" applyBorder="1" applyAlignment="1">
      <alignment horizontal="center"/>
    </xf>
    <xf numFmtId="0" fontId="3" fillId="0" borderId="32" xfId="1" applyBorder="1" applyAlignment="1">
      <alignment horizontal="center"/>
    </xf>
    <xf numFmtId="0" fontId="3" fillId="0" borderId="33" xfId="1" applyBorder="1" applyAlignment="1">
      <alignment horizontal="center"/>
    </xf>
    <xf numFmtId="0" fontId="1" fillId="5" borderId="11" xfId="1" applyFont="1" applyFill="1" applyBorder="1" applyAlignment="1">
      <alignment horizontal="left"/>
    </xf>
    <xf numFmtId="0" fontId="1" fillId="5" borderId="12" xfId="1" applyFont="1" applyFill="1" applyBorder="1" applyAlignment="1">
      <alignment horizontal="left"/>
    </xf>
    <xf numFmtId="0" fontId="1" fillId="5" borderId="17" xfId="1" applyFont="1" applyFill="1" applyBorder="1" applyAlignment="1">
      <alignment horizontal="left"/>
    </xf>
    <xf numFmtId="0" fontId="1" fillId="5" borderId="13" xfId="1" applyFont="1" applyFill="1" applyBorder="1" applyAlignment="1">
      <alignment horizontal="left"/>
    </xf>
    <xf numFmtId="0" fontId="1" fillId="5" borderId="0" xfId="1" applyFont="1" applyFill="1" applyAlignment="1">
      <alignment horizontal="left"/>
    </xf>
    <xf numFmtId="0" fontId="1" fillId="5" borderId="14" xfId="1" applyFont="1" applyFill="1" applyBorder="1" applyAlignment="1">
      <alignment horizontal="left"/>
    </xf>
    <xf numFmtId="0" fontId="1" fillId="0" borderId="5" xfId="1" applyFont="1" applyBorder="1" applyAlignment="1">
      <alignment horizontal="center"/>
    </xf>
    <xf numFmtId="0" fontId="1" fillId="0" borderId="6" xfId="1" applyFont="1" applyBorder="1" applyAlignment="1">
      <alignment horizontal="center"/>
    </xf>
    <xf numFmtId="0" fontId="1" fillId="0" borderId="18" xfId="1" applyFont="1" applyBorder="1" applyAlignment="1">
      <alignment horizontal="center"/>
    </xf>
    <xf numFmtId="0" fontId="3" fillId="0" borderId="24" xfId="1" applyBorder="1" applyAlignment="1">
      <alignment horizontal="center"/>
    </xf>
    <xf numFmtId="0" fontId="3" fillId="0" borderId="25" xfId="1" applyBorder="1" applyAlignment="1">
      <alignment horizontal="center"/>
    </xf>
    <xf numFmtId="0" fontId="3" fillId="0" borderId="29" xfId="1" applyBorder="1" applyAlignment="1">
      <alignment horizontal="center"/>
    </xf>
    <xf numFmtId="0" fontId="3" fillId="0" borderId="35" xfId="1" applyBorder="1" applyAlignment="1">
      <alignment horizontal="center"/>
    </xf>
    <xf numFmtId="0" fontId="3" fillId="0" borderId="0" xfId="1" applyAlignment="1">
      <alignment horizontal="center"/>
    </xf>
    <xf numFmtId="0" fontId="3" fillId="0" borderId="36" xfId="1" applyBorder="1" applyAlignment="1">
      <alignment horizontal="center"/>
    </xf>
    <xf numFmtId="0" fontId="3" fillId="0" borderId="27" xfId="1" applyBorder="1" applyAlignment="1">
      <alignment horizontal="center"/>
    </xf>
    <xf numFmtId="0" fontId="3" fillId="0" borderId="23" xfId="1" applyBorder="1" applyAlignment="1">
      <alignment horizontal="center"/>
    </xf>
    <xf numFmtId="0" fontId="3" fillId="0" borderId="31" xfId="1" applyBorder="1" applyAlignment="1">
      <alignment horizontal="center"/>
    </xf>
    <xf numFmtId="49" fontId="3" fillId="0" borderId="3" xfId="1" applyNumberFormat="1" applyBorder="1" applyAlignment="1">
      <alignment horizontal="center"/>
    </xf>
    <xf numFmtId="49" fontId="3" fillId="0" borderId="1" xfId="1" applyNumberFormat="1" applyBorder="1" applyAlignment="1">
      <alignment horizontal="center"/>
    </xf>
    <xf numFmtId="3" fontId="3" fillId="5" borderId="1" xfId="1" applyNumberFormat="1" applyFill="1" applyBorder="1" applyAlignment="1">
      <alignment horizontal="center"/>
    </xf>
    <xf numFmtId="0" fontId="3" fillId="2" borderId="6" xfId="1" applyFill="1" applyBorder="1" applyAlignment="1">
      <alignment horizontal="center"/>
    </xf>
    <xf numFmtId="0" fontId="3" fillId="2" borderId="18" xfId="1" applyFill="1" applyBorder="1" applyAlignment="1">
      <alignment horizontal="center"/>
    </xf>
    <xf numFmtId="49" fontId="3" fillId="5" borderId="3" xfId="1" applyNumberFormat="1" applyFill="1" applyBorder="1" applyAlignment="1">
      <alignment horizontal="center"/>
    </xf>
    <xf numFmtId="0" fontId="3" fillId="0" borderId="0" xfId="0" applyFont="1" applyAlignment="1">
      <alignment horizontal="left"/>
    </xf>
    <xf numFmtId="0" fontId="0" fillId="0" borderId="0" xfId="0" applyAlignment="1">
      <alignment horizontal="center" vertical="center"/>
    </xf>
    <xf numFmtId="0" fontId="0" fillId="0" borderId="14" xfId="0" applyBorder="1" applyAlignment="1">
      <alignment horizontal="center" vertical="center"/>
    </xf>
    <xf numFmtId="0" fontId="9" fillId="0" borderId="13" xfId="0" applyFont="1" applyBorder="1" applyAlignment="1">
      <alignment horizontal="left"/>
    </xf>
    <xf numFmtId="0" fontId="9" fillId="0" borderId="0" xfId="0" applyFont="1" applyAlignment="1">
      <alignment horizontal="left"/>
    </xf>
    <xf numFmtId="14" fontId="3" fillId="0" borderId="16" xfId="0" applyNumberFormat="1" applyFont="1" applyBorder="1" applyAlignment="1">
      <alignment horizontal="center"/>
    </xf>
    <xf numFmtId="14" fontId="18" fillId="0" borderId="16" xfId="0" applyNumberFormat="1" applyFont="1" applyBorder="1" applyAlignment="1">
      <alignment horizontal="center"/>
    </xf>
    <xf numFmtId="0" fontId="0" fillId="2" borderId="5" xfId="0" applyFill="1" applyBorder="1" applyAlignment="1">
      <alignment horizontal="center"/>
    </xf>
    <xf numFmtId="0" fontId="0" fillId="2" borderId="18" xfId="0" applyFill="1" applyBorder="1" applyAlignment="1">
      <alignment horizontal="center"/>
    </xf>
    <xf numFmtId="0" fontId="1" fillId="0" borderId="34" xfId="0" applyFont="1" applyBorder="1" applyAlignment="1">
      <alignment horizontal="center"/>
    </xf>
    <xf numFmtId="0" fontId="1" fillId="0" borderId="32" xfId="0" applyFont="1" applyBorder="1" applyAlignment="1">
      <alignment horizontal="center"/>
    </xf>
    <xf numFmtId="0" fontId="1" fillId="0" borderId="33" xfId="0" applyFont="1" applyBorder="1" applyAlignment="1">
      <alignment horizontal="center"/>
    </xf>
    <xf numFmtId="0" fontId="3" fillId="0" borderId="32" xfId="0" applyFont="1" applyBorder="1" applyAlignment="1">
      <alignment horizontal="center"/>
    </xf>
    <xf numFmtId="0" fontId="3" fillId="0" borderId="33" xfId="0" applyFont="1" applyBorder="1" applyAlignment="1">
      <alignment horizontal="center"/>
    </xf>
    <xf numFmtId="0" fontId="0" fillId="0" borderId="11" xfId="0" applyBorder="1" applyAlignment="1">
      <alignment horizontal="left"/>
    </xf>
    <xf numFmtId="0" fontId="0" fillId="0" borderId="12" xfId="0" applyBorder="1" applyAlignment="1">
      <alignment horizontal="left"/>
    </xf>
    <xf numFmtId="0" fontId="0" fillId="0" borderId="17" xfId="0" applyBorder="1" applyAlignment="1">
      <alignment horizontal="left"/>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xf>
    <xf numFmtId="0" fontId="0" fillId="0" borderId="0" xfId="0" applyAlignment="1">
      <alignment horizontal="left"/>
    </xf>
    <xf numFmtId="0" fontId="0" fillId="0" borderId="14" xfId="0" applyBorder="1" applyAlignment="1">
      <alignment horizontal="left"/>
    </xf>
    <xf numFmtId="0" fontId="0" fillId="0" borderId="16" xfId="0" applyBorder="1" applyAlignment="1">
      <alignment horizontal="right"/>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2" xfId="0" applyBorder="1" applyAlignment="1">
      <alignment horizontal="center" vertical="center"/>
    </xf>
    <xf numFmtId="0" fontId="3" fillId="0" borderId="13" xfId="0" applyFont="1" applyBorder="1" applyAlignment="1">
      <alignment horizontal="left"/>
    </xf>
    <xf numFmtId="0" fontId="1" fillId="0" borderId="11" xfId="0" applyFont="1" applyBorder="1" applyAlignment="1">
      <alignment horizontal="center"/>
    </xf>
    <xf numFmtId="0" fontId="1" fillId="0" borderId="12" xfId="0" applyFont="1" applyBorder="1" applyAlignment="1">
      <alignment horizontal="center"/>
    </xf>
    <xf numFmtId="0" fontId="1" fillId="0" borderId="17" xfId="0" applyFont="1" applyBorder="1" applyAlignment="1">
      <alignment horizontal="center"/>
    </xf>
    <xf numFmtId="49" fontId="3" fillId="0" borderId="1" xfId="0" applyNumberFormat="1" applyFont="1" applyBorder="1" applyAlignment="1">
      <alignment horizontal="center"/>
    </xf>
    <xf numFmtId="49" fontId="0" fillId="0" borderId="1" xfId="0" applyNumberFormat="1" applyBorder="1" applyAlignment="1">
      <alignment horizontal="center"/>
    </xf>
    <xf numFmtId="49" fontId="0" fillId="0" borderId="5" xfId="0" applyNumberFormat="1" applyBorder="1" applyAlignment="1">
      <alignment horizontal="center"/>
    </xf>
    <xf numFmtId="0" fontId="0" fillId="0" borderId="1" xfId="0" applyBorder="1" applyAlignment="1">
      <alignment horizontal="center"/>
    </xf>
    <xf numFmtId="0" fontId="1" fillId="0" borderId="37" xfId="0" applyFont="1" applyBorder="1" applyAlignment="1">
      <alignment horizontal="center"/>
    </xf>
    <xf numFmtId="0" fontId="1" fillId="0" borderId="38" xfId="0" applyFont="1" applyBorder="1" applyAlignment="1">
      <alignment horizontal="center"/>
    </xf>
    <xf numFmtId="0" fontId="1" fillId="0" borderId="39" xfId="0" applyFont="1" applyBorder="1" applyAlignment="1">
      <alignment horizontal="center"/>
    </xf>
    <xf numFmtId="0" fontId="11" fillId="0" borderId="27" xfId="0" applyFont="1" applyBorder="1" applyAlignment="1">
      <alignment horizontal="center"/>
    </xf>
    <xf numFmtId="0" fontId="11" fillId="0" borderId="31" xfId="0" applyFont="1"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14" xfId="0" applyBorder="1" applyAlignment="1">
      <alignment horizontal="center"/>
    </xf>
    <xf numFmtId="0" fontId="3" fillId="0" borderId="15" xfId="0" applyFont="1" applyBorder="1" applyAlignment="1">
      <alignment horizontal="left"/>
    </xf>
    <xf numFmtId="0" fontId="5" fillId="0" borderId="0" xfId="0" applyFont="1" applyAlignment="1">
      <alignment horizontal="left" wrapText="1"/>
    </xf>
    <xf numFmtId="0" fontId="5" fillId="0" borderId="14" xfId="0" applyFont="1" applyBorder="1" applyAlignment="1">
      <alignment horizontal="left" wrapText="1"/>
    </xf>
    <xf numFmtId="0" fontId="5" fillId="0" borderId="16" xfId="0" applyFont="1" applyBorder="1" applyAlignment="1">
      <alignment horizontal="left" wrapText="1"/>
    </xf>
    <xf numFmtId="0" fontId="5" fillId="0" borderId="2" xfId="0" applyFont="1" applyBorder="1" applyAlignment="1">
      <alignment horizontal="left" wrapText="1"/>
    </xf>
    <xf numFmtId="0" fontId="1" fillId="0" borderId="11" xfId="0" applyFont="1" applyBorder="1" applyAlignment="1">
      <alignment horizontal="left" wrapText="1"/>
    </xf>
    <xf numFmtId="0" fontId="1" fillId="0" borderId="12" xfId="0" applyFont="1" applyBorder="1" applyAlignment="1">
      <alignment horizontal="left" wrapText="1"/>
    </xf>
    <xf numFmtId="0" fontId="1" fillId="0" borderId="17" xfId="0" applyFont="1" applyBorder="1" applyAlignment="1">
      <alignment horizontal="left" wrapText="1"/>
    </xf>
    <xf numFmtId="0" fontId="0" fillId="0" borderId="13" xfId="0" applyBorder="1" applyAlignment="1">
      <alignment horizontal="left" vertical="top"/>
    </xf>
    <xf numFmtId="0" fontId="0" fillId="0" borderId="0" xfId="0" applyAlignment="1">
      <alignment horizontal="left" vertical="top"/>
    </xf>
    <xf numFmtId="0" fontId="0" fillId="0" borderId="23" xfId="0" applyBorder="1" applyAlignment="1">
      <alignment horizontal="left"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23" xfId="0" applyFont="1" applyBorder="1" applyAlignment="1">
      <alignment horizontal="center" vertical="top"/>
    </xf>
    <xf numFmtId="0" fontId="1" fillId="0" borderId="28" xfId="0" applyFont="1" applyBorder="1" applyAlignment="1">
      <alignment horizontal="center" vertical="top"/>
    </xf>
    <xf numFmtId="0" fontId="6" fillId="0" borderId="24" xfId="0" applyFont="1" applyBorder="1" applyAlignment="1">
      <alignment horizontal="center"/>
    </xf>
    <xf numFmtId="0" fontId="6" fillId="0" borderId="29" xfId="0" applyFont="1" applyBorder="1" applyAlignment="1">
      <alignment horizontal="center"/>
    </xf>
    <xf numFmtId="0" fontId="0" fillId="0" borderId="13" xfId="0" applyBorder="1" applyAlignment="1">
      <alignment horizontal="center"/>
    </xf>
    <xf numFmtId="0" fontId="5" fillId="0" borderId="15" xfId="0" applyFont="1" applyBorder="1" applyAlignment="1">
      <alignment horizontal="center"/>
    </xf>
    <xf numFmtId="0" fontId="5" fillId="0" borderId="16" xfId="0" applyFont="1" applyBorder="1" applyAlignment="1">
      <alignment horizontal="center"/>
    </xf>
    <xf numFmtId="0" fontId="9" fillId="0" borderId="22" xfId="0" applyFont="1" applyBorder="1" applyAlignment="1">
      <alignment horizontal="center"/>
    </xf>
    <xf numFmtId="0" fontId="9" fillId="0" borderId="23" xfId="0" applyFont="1" applyBorder="1" applyAlignment="1">
      <alignment horizontal="center"/>
    </xf>
    <xf numFmtId="0" fontId="9" fillId="0" borderId="28" xfId="0" applyFont="1" applyBorder="1" applyAlignment="1">
      <alignment horizontal="center"/>
    </xf>
    <xf numFmtId="0" fontId="1" fillId="0" borderId="3" xfId="0" applyFont="1" applyBorder="1" applyAlignment="1">
      <alignment horizontal="left"/>
    </xf>
    <xf numFmtId="0" fontId="1" fillId="0" borderId="1" xfId="0" applyFont="1" applyBorder="1" applyAlignment="1">
      <alignment horizontal="left"/>
    </xf>
    <xf numFmtId="0" fontId="0" fillId="0" borderId="5" xfId="0" applyBorder="1" applyAlignment="1">
      <alignment horizontal="center"/>
    </xf>
    <xf numFmtId="0" fontId="0" fillId="0" borderId="6" xfId="0" applyBorder="1" applyAlignment="1">
      <alignment horizontal="center"/>
    </xf>
    <xf numFmtId="0" fontId="0" fillId="0" borderId="18" xfId="0" applyBorder="1" applyAlignment="1">
      <alignment horizontal="center"/>
    </xf>
    <xf numFmtId="0" fontId="0" fillId="2" borderId="6" xfId="0" applyFill="1" applyBorder="1" applyAlignment="1">
      <alignment horizontal="center"/>
    </xf>
    <xf numFmtId="0" fontId="1" fillId="0" borderId="13" xfId="0" applyFont="1" applyBorder="1" applyAlignment="1">
      <alignment horizontal="center"/>
    </xf>
    <xf numFmtId="0" fontId="1" fillId="0" borderId="0" xfId="0" applyFont="1" applyAlignment="1">
      <alignment horizontal="center"/>
    </xf>
    <xf numFmtId="0" fontId="1" fillId="0" borderId="14" xfId="0" applyFont="1" applyBorder="1" applyAlignment="1">
      <alignment horizontal="center"/>
    </xf>
    <xf numFmtId="0" fontId="1" fillId="0" borderId="3" xfId="0" applyFont="1" applyBorder="1" applyAlignment="1">
      <alignment horizontal="center" vertical="top"/>
    </xf>
    <xf numFmtId="0" fontId="1" fillId="0" borderId="1" xfId="0" applyFont="1" applyBorder="1" applyAlignment="1">
      <alignment horizontal="center" vertical="top"/>
    </xf>
    <xf numFmtId="0" fontId="3" fillId="0" borderId="1" xfId="0" applyFont="1" applyBorder="1" applyAlignment="1">
      <alignment horizontal="center"/>
    </xf>
    <xf numFmtId="3" fontId="0" fillId="0" borderId="1" xfId="0" applyNumberFormat="1" applyBorder="1" applyAlignment="1">
      <alignment horizontal="center"/>
    </xf>
    <xf numFmtId="0" fontId="1" fillId="4" borderId="13" xfId="0" applyFont="1" applyFill="1" applyBorder="1" applyAlignment="1">
      <alignment horizontal="center"/>
    </xf>
    <xf numFmtId="0" fontId="1" fillId="4" borderId="0" xfId="0" applyFont="1" applyFill="1" applyAlignment="1">
      <alignment horizontal="center"/>
    </xf>
    <xf numFmtId="0" fontId="1" fillId="4" borderId="14" xfId="0" applyFont="1" applyFill="1" applyBorder="1" applyAlignment="1">
      <alignment horizontal="center"/>
    </xf>
    <xf numFmtId="0" fontId="1" fillId="0" borderId="1" xfId="0" applyFont="1" applyBorder="1" applyAlignment="1">
      <alignment horizontal="center"/>
    </xf>
    <xf numFmtId="0" fontId="7" fillId="0" borderId="1" xfId="0" applyFont="1" applyBorder="1" applyAlignment="1">
      <alignment horizontal="center" wrapText="1" shrinkToFit="1"/>
    </xf>
    <xf numFmtId="0" fontId="6" fillId="0" borderId="1" xfId="0" applyFont="1" applyBorder="1" applyAlignment="1">
      <alignment horizontal="center"/>
    </xf>
    <xf numFmtId="0" fontId="6" fillId="0" borderId="4" xfId="0" applyFont="1" applyBorder="1" applyAlignment="1">
      <alignment horizontal="center"/>
    </xf>
    <xf numFmtId="0" fontId="6" fillId="0" borderId="3" xfId="0" applyFont="1" applyBorder="1" applyAlignment="1">
      <alignment horizontal="center"/>
    </xf>
    <xf numFmtId="0" fontId="1" fillId="0" borderId="1" xfId="0" applyFont="1" applyBorder="1" applyAlignment="1">
      <alignment horizontal="center" vertical="center"/>
    </xf>
    <xf numFmtId="0" fontId="6" fillId="0" borderId="1" xfId="0" applyFont="1" applyBorder="1" applyAlignment="1">
      <alignment horizontal="center" wrapText="1"/>
    </xf>
    <xf numFmtId="0" fontId="12" fillId="0" borderId="0" xfId="0" applyFont="1" applyAlignment="1">
      <alignment horizontal="left"/>
    </xf>
    <xf numFmtId="0" fontId="12" fillId="0" borderId="0" xfId="0" applyFont="1" applyAlignment="1">
      <alignment horizontal="center"/>
    </xf>
    <xf numFmtId="0" fontId="5" fillId="0" borderId="0" xfId="0" applyFont="1" applyAlignment="1">
      <alignment horizontal="center"/>
    </xf>
    <xf numFmtId="0" fontId="9" fillId="0" borderId="12" xfId="0" applyFont="1" applyBorder="1" applyAlignment="1">
      <alignment horizontal="center"/>
    </xf>
    <xf numFmtId="0" fontId="9" fillId="0" borderId="17" xfId="0" applyFont="1" applyBorder="1" applyAlignment="1">
      <alignment horizontal="center"/>
    </xf>
    <xf numFmtId="0" fontId="7" fillId="0" borderId="0" xfId="0" applyFont="1" applyAlignment="1">
      <alignment horizontal="left" wrapText="1"/>
    </xf>
    <xf numFmtId="0" fontId="7" fillId="0" borderId="14" xfId="0" applyFont="1" applyBorder="1" applyAlignment="1">
      <alignment horizontal="left" wrapText="1"/>
    </xf>
    <xf numFmtId="0" fontId="8" fillId="0" borderId="0" xfId="0" applyFont="1" applyAlignment="1">
      <alignment horizontal="center" vertical="center"/>
    </xf>
    <xf numFmtId="0" fontId="8" fillId="0" borderId="14" xfId="0" applyFont="1" applyBorder="1" applyAlignment="1">
      <alignment horizontal="center" vertical="center"/>
    </xf>
    <xf numFmtId="0" fontId="1" fillId="0" borderId="19" xfId="0" applyFont="1" applyBorder="1" applyAlignment="1">
      <alignment horizontal="center"/>
    </xf>
    <xf numFmtId="0" fontId="1" fillId="0" borderId="20" xfId="0" applyFont="1" applyBorder="1" applyAlignment="1">
      <alignment horizontal="center"/>
    </xf>
    <xf numFmtId="0" fontId="1" fillId="0" borderId="21" xfId="0" applyFont="1" applyBorder="1" applyAlignment="1">
      <alignment horizontal="center"/>
    </xf>
    <xf numFmtId="0" fontId="9" fillId="0" borderId="11" xfId="0" applyFont="1" applyBorder="1" applyAlignment="1">
      <alignment horizontal="center"/>
    </xf>
    <xf numFmtId="0" fontId="12" fillId="0" borderId="11" xfId="0" applyFont="1" applyBorder="1" applyAlignment="1">
      <alignment horizontal="left" vertical="top" wrapText="1"/>
    </xf>
    <xf numFmtId="0" fontId="12" fillId="0" borderId="12" xfId="0" applyFont="1" applyBorder="1" applyAlignment="1">
      <alignment horizontal="left" vertical="top" wrapText="1"/>
    </xf>
    <xf numFmtId="0" fontId="12" fillId="0" borderId="17" xfId="0" applyFont="1" applyBorder="1" applyAlignment="1">
      <alignment horizontal="left" vertical="top" wrapText="1"/>
    </xf>
    <xf numFmtId="0" fontId="12" fillId="0" borderId="13" xfId="0" applyFont="1" applyBorder="1" applyAlignment="1">
      <alignment horizontal="left" vertical="top" wrapText="1"/>
    </xf>
    <xf numFmtId="0" fontId="12" fillId="0" borderId="0" xfId="0" applyFont="1" applyAlignment="1">
      <alignment horizontal="left" vertical="top" wrapText="1"/>
    </xf>
    <xf numFmtId="0" fontId="12" fillId="0" borderId="14" xfId="0" applyFont="1" applyBorder="1" applyAlignment="1">
      <alignment horizontal="left" vertical="top" wrapText="1"/>
    </xf>
    <xf numFmtId="0" fontId="11" fillId="0" borderId="11" xfId="0" applyFont="1" applyBorder="1" applyAlignment="1">
      <alignment horizontal="left" wrapText="1"/>
    </xf>
    <xf numFmtId="0" fontId="11" fillId="0" borderId="12" xfId="0" applyFont="1" applyBorder="1" applyAlignment="1">
      <alignment horizontal="left" wrapText="1"/>
    </xf>
    <xf numFmtId="0" fontId="11" fillId="0" borderId="17" xfId="0" applyFont="1" applyBorder="1" applyAlignment="1">
      <alignment horizontal="left" wrapText="1"/>
    </xf>
    <xf numFmtId="0" fontId="11" fillId="0" borderId="13" xfId="0" applyFont="1" applyBorder="1" applyAlignment="1">
      <alignment horizontal="left" wrapText="1"/>
    </xf>
    <xf numFmtId="0" fontId="11" fillId="0" borderId="0" xfId="0" applyFont="1" applyAlignment="1">
      <alignment horizontal="left" wrapText="1"/>
    </xf>
    <xf numFmtId="0" fontId="11" fillId="0" borderId="14" xfId="0" applyFont="1" applyBorder="1" applyAlignment="1">
      <alignment horizontal="left" wrapText="1"/>
    </xf>
    <xf numFmtId="0" fontId="11" fillId="0" borderId="15" xfId="0" applyFont="1" applyBorder="1" applyAlignment="1">
      <alignment horizontal="left" wrapText="1"/>
    </xf>
    <xf numFmtId="0" fontId="11" fillId="0" borderId="16" xfId="0" applyFont="1" applyBorder="1" applyAlignment="1">
      <alignment horizontal="left" wrapText="1"/>
    </xf>
    <xf numFmtId="0" fontId="9" fillId="0" borderId="13" xfId="0" applyFont="1" applyBorder="1" applyAlignment="1">
      <alignment horizontal="center"/>
    </xf>
    <xf numFmtId="0" fontId="9" fillId="0" borderId="0" xfId="0" applyFont="1" applyAlignment="1">
      <alignment horizontal="center"/>
    </xf>
    <xf numFmtId="0" fontId="9" fillId="0" borderId="14" xfId="0" applyFont="1" applyBorder="1" applyAlignment="1">
      <alignment horizontal="center"/>
    </xf>
    <xf numFmtId="0" fontId="5" fillId="0" borderId="2" xfId="0" applyFont="1" applyBorder="1" applyAlignment="1">
      <alignment horizontal="center"/>
    </xf>
    <xf numFmtId="0" fontId="9" fillId="0" borderId="15" xfId="0" applyFont="1" applyBorder="1" applyAlignment="1">
      <alignment horizontal="center"/>
    </xf>
    <xf numFmtId="0" fontId="9" fillId="0" borderId="16" xfId="0" applyFont="1" applyBorder="1" applyAlignment="1">
      <alignment horizontal="center"/>
    </xf>
    <xf numFmtId="0" fontId="9" fillId="0" borderId="2" xfId="0" applyFont="1" applyBorder="1" applyAlignment="1">
      <alignment horizontal="center"/>
    </xf>
    <xf numFmtId="0" fontId="12" fillId="0" borderId="14" xfId="0" applyFont="1" applyBorder="1" applyAlignment="1">
      <alignment horizontal="left"/>
    </xf>
    <xf numFmtId="0" fontId="11" fillId="0" borderId="13" xfId="0" applyFont="1" applyBorder="1" applyAlignment="1">
      <alignment horizontal="left"/>
    </xf>
    <xf numFmtId="0" fontId="11" fillId="0" borderId="0" xfId="0" applyFont="1" applyAlignment="1">
      <alignment horizontal="left"/>
    </xf>
    <xf numFmtId="0" fontId="11" fillId="0" borderId="14" xfId="0" applyFont="1" applyBorder="1" applyAlignment="1">
      <alignment horizontal="left"/>
    </xf>
    <xf numFmtId="0" fontId="11" fillId="0" borderId="15" xfId="0" applyFont="1" applyBorder="1" applyAlignment="1">
      <alignment horizontal="left"/>
    </xf>
    <xf numFmtId="0" fontId="11" fillId="0" borderId="16" xfId="0" applyFont="1" applyBorder="1" applyAlignment="1">
      <alignment horizontal="left"/>
    </xf>
    <xf numFmtId="0" fontId="11" fillId="0" borderId="2" xfId="0" applyFont="1" applyBorder="1" applyAlignment="1">
      <alignment horizontal="left"/>
    </xf>
    <xf numFmtId="0" fontId="13" fillId="0" borderId="13" xfId="0" applyFont="1" applyBorder="1" applyAlignment="1">
      <alignment horizontal="center"/>
    </xf>
    <xf numFmtId="0" fontId="13" fillId="0" borderId="0" xfId="0" applyFont="1" applyAlignment="1">
      <alignment horizontal="center"/>
    </xf>
    <xf numFmtId="0" fontId="13" fillId="0" borderId="16" xfId="0" applyFont="1" applyBorder="1" applyAlignment="1">
      <alignment horizontal="center"/>
    </xf>
    <xf numFmtId="0" fontId="13" fillId="0" borderId="2" xfId="0" applyFont="1" applyBorder="1" applyAlignment="1">
      <alignment horizontal="center"/>
    </xf>
    <xf numFmtId="0" fontId="14" fillId="0" borderId="13" xfId="0" applyFont="1" applyBorder="1" applyAlignment="1">
      <alignment horizontal="left" wrapText="1"/>
    </xf>
    <xf numFmtId="0" fontId="14" fillId="0" borderId="0" xfId="0" applyFont="1" applyAlignment="1">
      <alignment horizontal="left" wrapText="1"/>
    </xf>
    <xf numFmtId="0" fontId="12" fillId="0" borderId="13" xfId="0" applyFont="1" applyBorder="1" applyAlignment="1">
      <alignment horizontal="center"/>
    </xf>
    <xf numFmtId="0" fontId="15" fillId="0" borderId="12" xfId="0" applyFont="1" applyBorder="1" applyAlignment="1">
      <alignment horizontal="left"/>
    </xf>
    <xf numFmtId="0" fontId="15" fillId="0" borderId="17" xfId="0" applyFont="1" applyBorder="1" applyAlignment="1">
      <alignment horizontal="left"/>
    </xf>
    <xf numFmtId="0" fontId="3" fillId="5" borderId="1" xfId="0" applyFont="1" applyFill="1" applyBorder="1" applyAlignment="1">
      <alignment horizontal="left"/>
    </xf>
    <xf numFmtId="0" fontId="19" fillId="5" borderId="1" xfId="0" applyFont="1" applyFill="1" applyBorder="1" applyAlignment="1">
      <alignment horizontal="left"/>
    </xf>
    <xf numFmtId="0" fontId="19" fillId="0" borderId="1" xfId="0" applyFont="1" applyBorder="1" applyAlignment="1">
      <alignment horizontal="left"/>
    </xf>
  </cellXfs>
  <cellStyles count="2">
    <cellStyle name="Normal" xfId="0" builtinId="0"/>
    <cellStyle name="Normal 2" xfId="1" xr:uid="{2A8A6916-6D9E-48D2-8814-46D8903C0CB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7</xdr:col>
      <xdr:colOff>104775</xdr:colOff>
      <xdr:row>5</xdr:row>
      <xdr:rowOff>28575</xdr:rowOff>
    </xdr:from>
    <xdr:to>
      <xdr:col>7</xdr:col>
      <xdr:colOff>200025</xdr:colOff>
      <xdr:row>5</xdr:row>
      <xdr:rowOff>123825</xdr:rowOff>
    </xdr:to>
    <xdr:sp macro="" textlink="">
      <xdr:nvSpPr>
        <xdr:cNvPr id="2" name="Rectangle 1">
          <a:extLst>
            <a:ext uri="{FF2B5EF4-FFF2-40B4-BE49-F238E27FC236}">
              <a16:creationId xmlns:a16="http://schemas.microsoft.com/office/drawing/2014/main" id="{1A3F8C7F-CF1E-42BE-BE6A-B4E46FB7A741}"/>
            </a:ext>
          </a:extLst>
        </xdr:cNvPr>
        <xdr:cNvSpPr>
          <a:spLocks noChangeArrowheads="1"/>
        </xdr:cNvSpPr>
      </xdr:nvSpPr>
      <xdr:spPr bwMode="auto">
        <a:xfrm>
          <a:off x="3305175" y="914400"/>
          <a:ext cx="95250" cy="95250"/>
        </a:xfrm>
        <a:prstGeom prst="rect">
          <a:avLst/>
        </a:prstGeom>
        <a:solidFill>
          <a:srgbClr val="FFFFFF"/>
        </a:solidFill>
        <a:ln w="19050">
          <a:solidFill>
            <a:srgbClr val="000000"/>
          </a:solidFill>
          <a:miter lim="800000"/>
          <a:headEnd/>
          <a:tailEnd/>
        </a:ln>
      </xdr:spPr>
    </xdr:sp>
    <xdr:clientData/>
  </xdr:twoCellAnchor>
  <xdr:twoCellAnchor>
    <xdr:from>
      <xdr:col>7</xdr:col>
      <xdr:colOff>104775</xdr:colOff>
      <xdr:row>10</xdr:row>
      <xdr:rowOff>28575</xdr:rowOff>
    </xdr:from>
    <xdr:to>
      <xdr:col>7</xdr:col>
      <xdr:colOff>200025</xdr:colOff>
      <xdr:row>10</xdr:row>
      <xdr:rowOff>123825</xdr:rowOff>
    </xdr:to>
    <xdr:sp macro="" textlink="">
      <xdr:nvSpPr>
        <xdr:cNvPr id="3" name="Rectangle 2">
          <a:extLst>
            <a:ext uri="{FF2B5EF4-FFF2-40B4-BE49-F238E27FC236}">
              <a16:creationId xmlns:a16="http://schemas.microsoft.com/office/drawing/2014/main" id="{79140DC8-D4AD-45F3-B820-1FD0343DA000}"/>
            </a:ext>
          </a:extLst>
        </xdr:cNvPr>
        <xdr:cNvSpPr>
          <a:spLocks noChangeArrowheads="1"/>
        </xdr:cNvSpPr>
      </xdr:nvSpPr>
      <xdr:spPr bwMode="auto">
        <a:xfrm>
          <a:off x="3305175" y="1743075"/>
          <a:ext cx="95250" cy="95250"/>
        </a:xfrm>
        <a:prstGeom prst="rect">
          <a:avLst/>
        </a:prstGeom>
        <a:solidFill>
          <a:srgbClr val="FFFFFF"/>
        </a:solidFill>
        <a:ln w="19050">
          <a:solidFill>
            <a:srgbClr val="000000"/>
          </a:solidFill>
          <a:miter lim="800000"/>
          <a:headEnd/>
          <a:tailEnd/>
        </a:ln>
      </xdr:spPr>
    </xdr:sp>
    <xdr:clientData/>
  </xdr:twoCellAnchor>
  <xdr:twoCellAnchor>
    <xdr:from>
      <xdr:col>9</xdr:col>
      <xdr:colOff>76200</xdr:colOff>
      <xdr:row>16</xdr:row>
      <xdr:rowOff>66675</xdr:rowOff>
    </xdr:from>
    <xdr:to>
      <xdr:col>9</xdr:col>
      <xdr:colOff>180975</xdr:colOff>
      <xdr:row>16</xdr:row>
      <xdr:rowOff>171450</xdr:rowOff>
    </xdr:to>
    <xdr:sp macro="" textlink="">
      <xdr:nvSpPr>
        <xdr:cNvPr id="4" name="Rectangle 3">
          <a:extLst>
            <a:ext uri="{FF2B5EF4-FFF2-40B4-BE49-F238E27FC236}">
              <a16:creationId xmlns:a16="http://schemas.microsoft.com/office/drawing/2014/main" id="{0D5C3F6F-66AC-4D8E-B53C-74C27AFC0D42}"/>
            </a:ext>
          </a:extLst>
        </xdr:cNvPr>
        <xdr:cNvSpPr>
          <a:spLocks noChangeArrowheads="1"/>
        </xdr:cNvSpPr>
      </xdr:nvSpPr>
      <xdr:spPr bwMode="auto">
        <a:xfrm>
          <a:off x="3981450" y="2914650"/>
          <a:ext cx="104775" cy="104775"/>
        </a:xfrm>
        <a:prstGeom prst="rect">
          <a:avLst/>
        </a:prstGeom>
        <a:solidFill>
          <a:srgbClr val="FFFFFF"/>
        </a:solidFill>
        <a:ln w="19050">
          <a:solidFill>
            <a:srgbClr val="000000"/>
          </a:solidFill>
          <a:miter lim="800000"/>
          <a:headEnd/>
          <a:tailEnd/>
        </a:ln>
      </xdr:spPr>
    </xdr:sp>
    <xdr:clientData/>
  </xdr:twoCellAnchor>
  <xdr:twoCellAnchor>
    <xdr:from>
      <xdr:col>10</xdr:col>
      <xdr:colOff>981075</xdr:colOff>
      <xdr:row>44</xdr:row>
      <xdr:rowOff>104775</xdr:rowOff>
    </xdr:from>
    <xdr:to>
      <xdr:col>10</xdr:col>
      <xdr:colOff>1085850</xdr:colOff>
      <xdr:row>45</xdr:row>
      <xdr:rowOff>66675</xdr:rowOff>
    </xdr:to>
    <xdr:sp macro="" textlink="">
      <xdr:nvSpPr>
        <xdr:cNvPr id="5" name="Rectangle 4">
          <a:extLst>
            <a:ext uri="{FF2B5EF4-FFF2-40B4-BE49-F238E27FC236}">
              <a16:creationId xmlns:a16="http://schemas.microsoft.com/office/drawing/2014/main" id="{76E342D7-84FA-47D3-8D02-CA5C9F9418AC}"/>
            </a:ext>
          </a:extLst>
        </xdr:cNvPr>
        <xdr:cNvSpPr>
          <a:spLocks noChangeArrowheads="1"/>
        </xdr:cNvSpPr>
      </xdr:nvSpPr>
      <xdr:spPr bwMode="auto">
        <a:xfrm>
          <a:off x="5495925" y="7505700"/>
          <a:ext cx="104775" cy="85725"/>
        </a:xfrm>
        <a:prstGeom prst="rect">
          <a:avLst/>
        </a:prstGeom>
        <a:solidFill>
          <a:srgbClr val="FFFFFF"/>
        </a:solidFill>
        <a:ln w="19050">
          <a:solidFill>
            <a:srgbClr val="000000"/>
          </a:solidFill>
          <a:miter lim="800000"/>
          <a:headEnd/>
          <a:tailEnd/>
        </a:ln>
      </xdr:spPr>
    </xdr:sp>
    <xdr:clientData/>
  </xdr:twoCellAnchor>
  <xdr:twoCellAnchor>
    <xdr:from>
      <xdr:col>12</xdr:col>
      <xdr:colOff>66675</xdr:colOff>
      <xdr:row>44</xdr:row>
      <xdr:rowOff>104775</xdr:rowOff>
    </xdr:from>
    <xdr:to>
      <xdr:col>12</xdr:col>
      <xdr:colOff>161925</xdr:colOff>
      <xdr:row>45</xdr:row>
      <xdr:rowOff>66675</xdr:rowOff>
    </xdr:to>
    <xdr:sp macro="" textlink="">
      <xdr:nvSpPr>
        <xdr:cNvPr id="6" name="Rectangle 5">
          <a:extLst>
            <a:ext uri="{FF2B5EF4-FFF2-40B4-BE49-F238E27FC236}">
              <a16:creationId xmlns:a16="http://schemas.microsoft.com/office/drawing/2014/main" id="{F9464980-8CA2-4DDD-B720-9C6B54151AC4}"/>
            </a:ext>
          </a:extLst>
        </xdr:cNvPr>
        <xdr:cNvSpPr>
          <a:spLocks noChangeArrowheads="1"/>
        </xdr:cNvSpPr>
      </xdr:nvSpPr>
      <xdr:spPr bwMode="auto">
        <a:xfrm>
          <a:off x="6334125" y="7505700"/>
          <a:ext cx="95250" cy="85725"/>
        </a:xfrm>
        <a:prstGeom prst="rect">
          <a:avLst/>
        </a:prstGeom>
        <a:solidFill>
          <a:srgbClr val="FFFFFF"/>
        </a:solidFill>
        <a:ln w="19050">
          <a:solidFill>
            <a:srgbClr val="000000"/>
          </a:solidFill>
          <a:miter lim="800000"/>
          <a:headEnd/>
          <a:tailEnd/>
        </a:ln>
      </xdr:spPr>
    </xdr:sp>
    <xdr:clientData/>
  </xdr:twoCellAnchor>
  <xdr:twoCellAnchor>
    <xdr:from>
      <xdr:col>11</xdr:col>
      <xdr:colOff>466725</xdr:colOff>
      <xdr:row>46</xdr:row>
      <xdr:rowOff>28575</xdr:rowOff>
    </xdr:from>
    <xdr:to>
      <xdr:col>11</xdr:col>
      <xdr:colOff>571500</xdr:colOff>
      <xdr:row>46</xdr:row>
      <xdr:rowOff>133350</xdr:rowOff>
    </xdr:to>
    <xdr:sp macro="" textlink="">
      <xdr:nvSpPr>
        <xdr:cNvPr id="7" name="Rectangle 6">
          <a:extLst>
            <a:ext uri="{FF2B5EF4-FFF2-40B4-BE49-F238E27FC236}">
              <a16:creationId xmlns:a16="http://schemas.microsoft.com/office/drawing/2014/main" id="{018E3440-F02C-42CD-97B9-116E45704C51}"/>
            </a:ext>
          </a:extLst>
        </xdr:cNvPr>
        <xdr:cNvSpPr>
          <a:spLocks noChangeArrowheads="1"/>
        </xdr:cNvSpPr>
      </xdr:nvSpPr>
      <xdr:spPr bwMode="auto">
        <a:xfrm>
          <a:off x="6124575" y="7639050"/>
          <a:ext cx="104775" cy="104775"/>
        </a:xfrm>
        <a:prstGeom prst="rect">
          <a:avLst/>
        </a:prstGeom>
        <a:solidFill>
          <a:srgbClr val="FFFFFF"/>
        </a:solidFill>
        <a:ln w="19050">
          <a:solidFill>
            <a:srgbClr val="000000"/>
          </a:solidFill>
          <a:miter lim="800000"/>
          <a:headEnd/>
          <a:tailEnd/>
        </a:ln>
      </xdr:spPr>
    </xdr:sp>
    <xdr:clientData/>
  </xdr:twoCellAnchor>
  <xdr:twoCellAnchor>
    <xdr:from>
      <xdr:col>10</xdr:col>
      <xdr:colOff>781050</xdr:colOff>
      <xdr:row>47</xdr:row>
      <xdr:rowOff>66675</xdr:rowOff>
    </xdr:from>
    <xdr:to>
      <xdr:col>10</xdr:col>
      <xdr:colOff>819150</xdr:colOff>
      <xdr:row>47</xdr:row>
      <xdr:rowOff>104775</xdr:rowOff>
    </xdr:to>
    <xdr:sp macro="" textlink="">
      <xdr:nvSpPr>
        <xdr:cNvPr id="8" name="Rectangle 7">
          <a:extLst>
            <a:ext uri="{FF2B5EF4-FFF2-40B4-BE49-F238E27FC236}">
              <a16:creationId xmlns:a16="http://schemas.microsoft.com/office/drawing/2014/main" id="{DF65A76E-3AB9-4EA4-B0A2-BCE47129E6F8}"/>
            </a:ext>
          </a:extLst>
        </xdr:cNvPr>
        <xdr:cNvSpPr>
          <a:spLocks noChangeArrowheads="1"/>
        </xdr:cNvSpPr>
      </xdr:nvSpPr>
      <xdr:spPr bwMode="auto">
        <a:xfrm>
          <a:off x="5295900" y="7829550"/>
          <a:ext cx="38100" cy="38100"/>
        </a:xfrm>
        <a:prstGeom prst="rect">
          <a:avLst/>
        </a:prstGeom>
        <a:solidFill>
          <a:srgbClr val="000000"/>
        </a:solidFill>
        <a:ln w="9525">
          <a:solidFill>
            <a:srgbClr val="000000"/>
          </a:solidFill>
          <a:miter lim="800000"/>
          <a:headEnd/>
          <a:tailEnd/>
        </a:ln>
      </xdr:spPr>
    </xdr:sp>
    <xdr:clientData/>
  </xdr:twoCellAnchor>
  <xdr:twoCellAnchor>
    <xdr:from>
      <xdr:col>6</xdr:col>
      <xdr:colOff>76200</xdr:colOff>
      <xdr:row>54</xdr:row>
      <xdr:rowOff>66675</xdr:rowOff>
    </xdr:from>
    <xdr:to>
      <xdr:col>6</xdr:col>
      <xdr:colOff>171450</xdr:colOff>
      <xdr:row>55</xdr:row>
      <xdr:rowOff>47625</xdr:rowOff>
    </xdr:to>
    <xdr:sp macro="" textlink="">
      <xdr:nvSpPr>
        <xdr:cNvPr id="9" name="Rectangle 9">
          <a:extLst>
            <a:ext uri="{FF2B5EF4-FFF2-40B4-BE49-F238E27FC236}">
              <a16:creationId xmlns:a16="http://schemas.microsoft.com/office/drawing/2014/main" id="{61A2D957-B67A-42CD-AA7C-2935E4E64675}"/>
            </a:ext>
          </a:extLst>
        </xdr:cNvPr>
        <xdr:cNvSpPr>
          <a:spLocks noChangeArrowheads="1"/>
        </xdr:cNvSpPr>
      </xdr:nvSpPr>
      <xdr:spPr bwMode="auto">
        <a:xfrm>
          <a:off x="3038475" y="8867775"/>
          <a:ext cx="95250" cy="95250"/>
        </a:xfrm>
        <a:prstGeom prst="rect">
          <a:avLst/>
        </a:prstGeom>
        <a:solidFill>
          <a:srgbClr val="FFFFFF"/>
        </a:solidFill>
        <a:ln w="19050">
          <a:solidFill>
            <a:srgbClr val="000000"/>
          </a:solidFill>
          <a:miter lim="800000"/>
          <a:headEnd/>
          <a:tailEnd/>
        </a:ln>
      </xdr:spPr>
    </xdr:sp>
    <xdr:clientData/>
  </xdr:twoCellAnchor>
  <xdr:twoCellAnchor>
    <xdr:from>
      <xdr:col>6</xdr:col>
      <xdr:colOff>76200</xdr:colOff>
      <xdr:row>56</xdr:row>
      <xdr:rowOff>47625</xdr:rowOff>
    </xdr:from>
    <xdr:to>
      <xdr:col>6</xdr:col>
      <xdr:colOff>171450</xdr:colOff>
      <xdr:row>56</xdr:row>
      <xdr:rowOff>152400</xdr:rowOff>
    </xdr:to>
    <xdr:sp macro="" textlink="">
      <xdr:nvSpPr>
        <xdr:cNvPr id="10" name="Rectangle 11">
          <a:extLst>
            <a:ext uri="{FF2B5EF4-FFF2-40B4-BE49-F238E27FC236}">
              <a16:creationId xmlns:a16="http://schemas.microsoft.com/office/drawing/2014/main" id="{439CF4D5-19EF-4BFD-8436-8C07E3227D59}"/>
            </a:ext>
          </a:extLst>
        </xdr:cNvPr>
        <xdr:cNvSpPr>
          <a:spLocks noChangeArrowheads="1"/>
        </xdr:cNvSpPr>
      </xdr:nvSpPr>
      <xdr:spPr bwMode="auto">
        <a:xfrm>
          <a:off x="3038475" y="9039225"/>
          <a:ext cx="95250" cy="104775"/>
        </a:xfrm>
        <a:prstGeom prst="rect">
          <a:avLst/>
        </a:prstGeom>
        <a:solidFill>
          <a:srgbClr val="FFFFFF"/>
        </a:solidFill>
        <a:ln w="19050">
          <a:solidFill>
            <a:srgbClr val="000000"/>
          </a:solidFill>
          <a:miter lim="800000"/>
          <a:headEnd/>
          <a:tailEnd/>
        </a:ln>
      </xdr:spPr>
    </xdr:sp>
    <xdr:clientData/>
  </xdr:twoCellAnchor>
  <xdr:twoCellAnchor>
    <xdr:from>
      <xdr:col>4</xdr:col>
      <xdr:colOff>114300</xdr:colOff>
      <xdr:row>54</xdr:row>
      <xdr:rowOff>66675</xdr:rowOff>
    </xdr:from>
    <xdr:to>
      <xdr:col>4</xdr:col>
      <xdr:colOff>219075</xdr:colOff>
      <xdr:row>55</xdr:row>
      <xdr:rowOff>38100</xdr:rowOff>
    </xdr:to>
    <xdr:sp macro="" textlink="">
      <xdr:nvSpPr>
        <xdr:cNvPr id="11" name="Rectangle 12">
          <a:extLst>
            <a:ext uri="{FF2B5EF4-FFF2-40B4-BE49-F238E27FC236}">
              <a16:creationId xmlns:a16="http://schemas.microsoft.com/office/drawing/2014/main" id="{8E58B423-C666-4D81-B283-1944C3DCFBDE}"/>
            </a:ext>
          </a:extLst>
        </xdr:cNvPr>
        <xdr:cNvSpPr>
          <a:spLocks noChangeArrowheads="1"/>
        </xdr:cNvSpPr>
      </xdr:nvSpPr>
      <xdr:spPr bwMode="auto">
        <a:xfrm>
          <a:off x="2095500" y="8867775"/>
          <a:ext cx="104775" cy="85725"/>
        </a:xfrm>
        <a:prstGeom prst="rect">
          <a:avLst/>
        </a:prstGeom>
        <a:solidFill>
          <a:srgbClr val="FFFFFF"/>
        </a:solidFill>
        <a:ln w="19050">
          <a:solidFill>
            <a:srgbClr val="000000"/>
          </a:solidFill>
          <a:miter lim="800000"/>
          <a:headEnd/>
          <a:tailEnd/>
        </a:ln>
      </xdr:spPr>
    </xdr:sp>
    <xdr:clientData/>
  </xdr:twoCellAnchor>
  <xdr:twoCellAnchor>
    <xdr:from>
      <xdr:col>4</xdr:col>
      <xdr:colOff>114300</xdr:colOff>
      <xdr:row>53</xdr:row>
      <xdr:rowOff>66675</xdr:rowOff>
    </xdr:from>
    <xdr:to>
      <xdr:col>4</xdr:col>
      <xdr:colOff>219075</xdr:colOff>
      <xdr:row>53</xdr:row>
      <xdr:rowOff>171450</xdr:rowOff>
    </xdr:to>
    <xdr:sp macro="" textlink="">
      <xdr:nvSpPr>
        <xdr:cNvPr id="12" name="Rectangle 13">
          <a:extLst>
            <a:ext uri="{FF2B5EF4-FFF2-40B4-BE49-F238E27FC236}">
              <a16:creationId xmlns:a16="http://schemas.microsoft.com/office/drawing/2014/main" id="{BD883B4A-D4CC-4156-A3F4-99C07F93A4F8}"/>
            </a:ext>
          </a:extLst>
        </xdr:cNvPr>
        <xdr:cNvSpPr>
          <a:spLocks noChangeArrowheads="1"/>
        </xdr:cNvSpPr>
      </xdr:nvSpPr>
      <xdr:spPr bwMode="auto">
        <a:xfrm>
          <a:off x="2095500" y="8686800"/>
          <a:ext cx="104775" cy="104775"/>
        </a:xfrm>
        <a:prstGeom prst="rect">
          <a:avLst/>
        </a:prstGeom>
        <a:solidFill>
          <a:srgbClr val="FFFFFF"/>
        </a:solidFill>
        <a:ln w="19050">
          <a:solidFill>
            <a:srgbClr val="000000"/>
          </a:solidFill>
          <a:miter lim="800000"/>
          <a:headEnd/>
          <a:tailEnd/>
        </a:ln>
      </xdr:spPr>
    </xdr:sp>
    <xdr:clientData/>
  </xdr:twoCellAnchor>
  <xdr:twoCellAnchor>
    <xdr:from>
      <xdr:col>6</xdr:col>
      <xdr:colOff>76200</xdr:colOff>
      <xdr:row>53</xdr:row>
      <xdr:rowOff>47625</xdr:rowOff>
    </xdr:from>
    <xdr:to>
      <xdr:col>6</xdr:col>
      <xdr:colOff>171450</xdr:colOff>
      <xdr:row>53</xdr:row>
      <xdr:rowOff>152400</xdr:rowOff>
    </xdr:to>
    <xdr:sp macro="" textlink="">
      <xdr:nvSpPr>
        <xdr:cNvPr id="13" name="Rectangle 14">
          <a:extLst>
            <a:ext uri="{FF2B5EF4-FFF2-40B4-BE49-F238E27FC236}">
              <a16:creationId xmlns:a16="http://schemas.microsoft.com/office/drawing/2014/main" id="{7F3EC00E-AF47-46E6-89C6-F9549ABB817F}"/>
            </a:ext>
          </a:extLst>
        </xdr:cNvPr>
        <xdr:cNvSpPr>
          <a:spLocks noChangeArrowheads="1"/>
        </xdr:cNvSpPr>
      </xdr:nvSpPr>
      <xdr:spPr bwMode="auto">
        <a:xfrm>
          <a:off x="3038475" y="8667750"/>
          <a:ext cx="95250" cy="104775"/>
        </a:xfrm>
        <a:prstGeom prst="rect">
          <a:avLst/>
        </a:prstGeom>
        <a:solidFill>
          <a:srgbClr val="FFFFFF"/>
        </a:solidFill>
        <a:ln w="19050">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104775</xdr:colOff>
      <xdr:row>1</xdr:row>
      <xdr:rowOff>0</xdr:rowOff>
    </xdr:from>
    <xdr:to>
      <xdr:col>7</xdr:col>
      <xdr:colOff>200025</xdr:colOff>
      <xdr:row>1</xdr:row>
      <xdr:rowOff>0</xdr:rowOff>
    </xdr:to>
    <xdr:sp macro="" textlink="">
      <xdr:nvSpPr>
        <xdr:cNvPr id="2" name="Rectangle 1">
          <a:extLst>
            <a:ext uri="{FF2B5EF4-FFF2-40B4-BE49-F238E27FC236}">
              <a16:creationId xmlns:a16="http://schemas.microsoft.com/office/drawing/2014/main" id="{610EAE7E-E99D-441B-A655-CC3C6858745D}"/>
            </a:ext>
          </a:extLst>
        </xdr:cNvPr>
        <xdr:cNvSpPr>
          <a:spLocks noChangeArrowheads="1"/>
        </xdr:cNvSpPr>
      </xdr:nvSpPr>
      <xdr:spPr bwMode="auto">
        <a:xfrm>
          <a:off x="3305175" y="238125"/>
          <a:ext cx="95250" cy="0"/>
        </a:xfrm>
        <a:prstGeom prst="rect">
          <a:avLst/>
        </a:prstGeom>
        <a:solidFill>
          <a:srgbClr val="FFFFFF"/>
        </a:solidFill>
        <a:ln w="19050">
          <a:solidFill>
            <a:srgbClr val="000000"/>
          </a:solidFill>
          <a:miter lim="800000"/>
          <a:headEnd/>
          <a:tailEnd/>
        </a:ln>
      </xdr:spPr>
    </xdr:sp>
    <xdr:clientData/>
  </xdr:twoCellAnchor>
  <xdr:twoCellAnchor>
    <xdr:from>
      <xdr:col>7</xdr:col>
      <xdr:colOff>104775</xdr:colOff>
      <xdr:row>1</xdr:row>
      <xdr:rowOff>0</xdr:rowOff>
    </xdr:from>
    <xdr:to>
      <xdr:col>7</xdr:col>
      <xdr:colOff>200025</xdr:colOff>
      <xdr:row>1</xdr:row>
      <xdr:rowOff>0</xdr:rowOff>
    </xdr:to>
    <xdr:sp macro="" textlink="">
      <xdr:nvSpPr>
        <xdr:cNvPr id="3" name="Rectangle 2">
          <a:extLst>
            <a:ext uri="{FF2B5EF4-FFF2-40B4-BE49-F238E27FC236}">
              <a16:creationId xmlns:a16="http://schemas.microsoft.com/office/drawing/2014/main" id="{9F446245-9300-490E-8C65-C6E75E2CAB5C}"/>
            </a:ext>
          </a:extLst>
        </xdr:cNvPr>
        <xdr:cNvSpPr>
          <a:spLocks noChangeArrowheads="1"/>
        </xdr:cNvSpPr>
      </xdr:nvSpPr>
      <xdr:spPr bwMode="auto">
        <a:xfrm>
          <a:off x="3305175" y="238125"/>
          <a:ext cx="95250" cy="0"/>
        </a:xfrm>
        <a:prstGeom prst="rect">
          <a:avLst/>
        </a:prstGeom>
        <a:solidFill>
          <a:srgbClr val="FFFFFF"/>
        </a:solidFill>
        <a:ln w="19050">
          <a:solidFill>
            <a:srgbClr val="000000"/>
          </a:solidFill>
          <a:miter lim="800000"/>
          <a:headEnd/>
          <a:tailEnd/>
        </a:ln>
      </xdr:spPr>
    </xdr:sp>
    <xdr:clientData/>
  </xdr:twoCellAnchor>
  <xdr:twoCellAnchor>
    <xdr:from>
      <xdr:col>9</xdr:col>
      <xdr:colOff>76200</xdr:colOff>
      <xdr:row>1</xdr:row>
      <xdr:rowOff>0</xdr:rowOff>
    </xdr:from>
    <xdr:to>
      <xdr:col>9</xdr:col>
      <xdr:colOff>180975</xdr:colOff>
      <xdr:row>1</xdr:row>
      <xdr:rowOff>0</xdr:rowOff>
    </xdr:to>
    <xdr:sp macro="" textlink="">
      <xdr:nvSpPr>
        <xdr:cNvPr id="4" name="Rectangle 3">
          <a:extLst>
            <a:ext uri="{FF2B5EF4-FFF2-40B4-BE49-F238E27FC236}">
              <a16:creationId xmlns:a16="http://schemas.microsoft.com/office/drawing/2014/main" id="{CA48D157-81B8-48DD-B350-D9BE1F6AFA8B}"/>
            </a:ext>
          </a:extLst>
        </xdr:cNvPr>
        <xdr:cNvSpPr>
          <a:spLocks noChangeArrowheads="1"/>
        </xdr:cNvSpPr>
      </xdr:nvSpPr>
      <xdr:spPr bwMode="auto">
        <a:xfrm>
          <a:off x="3981450" y="238125"/>
          <a:ext cx="104775" cy="0"/>
        </a:xfrm>
        <a:prstGeom prst="rect">
          <a:avLst/>
        </a:prstGeom>
        <a:solidFill>
          <a:srgbClr val="FFFFFF"/>
        </a:solidFill>
        <a:ln w="19050">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104775</xdr:colOff>
      <xdr:row>5</xdr:row>
      <xdr:rowOff>28575</xdr:rowOff>
    </xdr:from>
    <xdr:to>
      <xdr:col>7</xdr:col>
      <xdr:colOff>200025</xdr:colOff>
      <xdr:row>5</xdr:row>
      <xdr:rowOff>123825</xdr:rowOff>
    </xdr:to>
    <xdr:sp macro="" textlink="">
      <xdr:nvSpPr>
        <xdr:cNvPr id="3338" name="Rectangle 1">
          <a:extLst>
            <a:ext uri="{FF2B5EF4-FFF2-40B4-BE49-F238E27FC236}">
              <a16:creationId xmlns:a16="http://schemas.microsoft.com/office/drawing/2014/main" id="{01FE57C4-34CA-CC45-1E3E-7705FAC0C164}"/>
            </a:ext>
          </a:extLst>
        </xdr:cNvPr>
        <xdr:cNvSpPr>
          <a:spLocks noChangeArrowheads="1"/>
        </xdr:cNvSpPr>
      </xdr:nvSpPr>
      <xdr:spPr bwMode="auto">
        <a:xfrm>
          <a:off x="3305175" y="914400"/>
          <a:ext cx="95250" cy="95250"/>
        </a:xfrm>
        <a:prstGeom prst="rect">
          <a:avLst/>
        </a:prstGeom>
        <a:solidFill>
          <a:srgbClr val="FFFFFF"/>
        </a:solidFill>
        <a:ln w="19050">
          <a:solidFill>
            <a:srgbClr val="000000"/>
          </a:solidFill>
          <a:miter lim="800000"/>
          <a:headEnd/>
          <a:tailEnd/>
        </a:ln>
      </xdr:spPr>
    </xdr:sp>
    <xdr:clientData/>
  </xdr:twoCellAnchor>
  <xdr:twoCellAnchor>
    <xdr:from>
      <xdr:col>7</xdr:col>
      <xdr:colOff>104775</xdr:colOff>
      <xdr:row>10</xdr:row>
      <xdr:rowOff>28575</xdr:rowOff>
    </xdr:from>
    <xdr:to>
      <xdr:col>7</xdr:col>
      <xdr:colOff>200025</xdr:colOff>
      <xdr:row>10</xdr:row>
      <xdr:rowOff>123825</xdr:rowOff>
    </xdr:to>
    <xdr:sp macro="" textlink="">
      <xdr:nvSpPr>
        <xdr:cNvPr id="3339" name="Rectangle 2">
          <a:extLst>
            <a:ext uri="{FF2B5EF4-FFF2-40B4-BE49-F238E27FC236}">
              <a16:creationId xmlns:a16="http://schemas.microsoft.com/office/drawing/2014/main" id="{9270680F-767E-D0C1-AC59-B69CCC6A3ABF}"/>
            </a:ext>
          </a:extLst>
        </xdr:cNvPr>
        <xdr:cNvSpPr>
          <a:spLocks noChangeArrowheads="1"/>
        </xdr:cNvSpPr>
      </xdr:nvSpPr>
      <xdr:spPr bwMode="auto">
        <a:xfrm>
          <a:off x="3305175" y="1743075"/>
          <a:ext cx="95250" cy="95250"/>
        </a:xfrm>
        <a:prstGeom prst="rect">
          <a:avLst/>
        </a:prstGeom>
        <a:solidFill>
          <a:srgbClr val="FFFFFF"/>
        </a:solidFill>
        <a:ln w="19050">
          <a:solidFill>
            <a:srgbClr val="000000"/>
          </a:solidFill>
          <a:miter lim="800000"/>
          <a:headEnd/>
          <a:tailEnd/>
        </a:ln>
      </xdr:spPr>
    </xdr:sp>
    <xdr:clientData/>
  </xdr:twoCellAnchor>
  <xdr:twoCellAnchor>
    <xdr:from>
      <xdr:col>9</xdr:col>
      <xdr:colOff>76200</xdr:colOff>
      <xdr:row>16</xdr:row>
      <xdr:rowOff>66675</xdr:rowOff>
    </xdr:from>
    <xdr:to>
      <xdr:col>9</xdr:col>
      <xdr:colOff>180975</xdr:colOff>
      <xdr:row>16</xdr:row>
      <xdr:rowOff>171450</xdr:rowOff>
    </xdr:to>
    <xdr:sp macro="" textlink="">
      <xdr:nvSpPr>
        <xdr:cNvPr id="3340" name="Rectangle 3">
          <a:extLst>
            <a:ext uri="{FF2B5EF4-FFF2-40B4-BE49-F238E27FC236}">
              <a16:creationId xmlns:a16="http://schemas.microsoft.com/office/drawing/2014/main" id="{7DC4EB47-F9F0-CF5B-C72F-44639ED00842}"/>
            </a:ext>
          </a:extLst>
        </xdr:cNvPr>
        <xdr:cNvSpPr>
          <a:spLocks noChangeArrowheads="1"/>
        </xdr:cNvSpPr>
      </xdr:nvSpPr>
      <xdr:spPr bwMode="auto">
        <a:xfrm>
          <a:off x="3981450" y="2914650"/>
          <a:ext cx="104775" cy="104775"/>
        </a:xfrm>
        <a:prstGeom prst="rect">
          <a:avLst/>
        </a:prstGeom>
        <a:solidFill>
          <a:srgbClr val="FFFFFF"/>
        </a:solidFill>
        <a:ln w="19050">
          <a:solidFill>
            <a:srgbClr val="000000"/>
          </a:solidFill>
          <a:miter lim="800000"/>
          <a:headEnd/>
          <a:tailEnd/>
        </a:ln>
      </xdr:spPr>
    </xdr:sp>
    <xdr:clientData/>
  </xdr:twoCellAnchor>
  <xdr:twoCellAnchor>
    <xdr:from>
      <xdr:col>10</xdr:col>
      <xdr:colOff>981075</xdr:colOff>
      <xdr:row>44</xdr:row>
      <xdr:rowOff>104775</xdr:rowOff>
    </xdr:from>
    <xdr:to>
      <xdr:col>10</xdr:col>
      <xdr:colOff>1085850</xdr:colOff>
      <xdr:row>45</xdr:row>
      <xdr:rowOff>66675</xdr:rowOff>
    </xdr:to>
    <xdr:sp macro="" textlink="">
      <xdr:nvSpPr>
        <xdr:cNvPr id="3341" name="Rectangle 4">
          <a:extLst>
            <a:ext uri="{FF2B5EF4-FFF2-40B4-BE49-F238E27FC236}">
              <a16:creationId xmlns:a16="http://schemas.microsoft.com/office/drawing/2014/main" id="{7DE21EDF-9B37-45B2-875D-35D5843EBEA1}"/>
            </a:ext>
          </a:extLst>
        </xdr:cNvPr>
        <xdr:cNvSpPr>
          <a:spLocks noChangeArrowheads="1"/>
        </xdr:cNvSpPr>
      </xdr:nvSpPr>
      <xdr:spPr bwMode="auto">
        <a:xfrm>
          <a:off x="5495925" y="7505700"/>
          <a:ext cx="104775" cy="85725"/>
        </a:xfrm>
        <a:prstGeom prst="rect">
          <a:avLst/>
        </a:prstGeom>
        <a:solidFill>
          <a:srgbClr val="FFFFFF"/>
        </a:solidFill>
        <a:ln w="19050">
          <a:solidFill>
            <a:srgbClr val="000000"/>
          </a:solidFill>
          <a:miter lim="800000"/>
          <a:headEnd/>
          <a:tailEnd/>
        </a:ln>
      </xdr:spPr>
    </xdr:sp>
    <xdr:clientData/>
  </xdr:twoCellAnchor>
  <xdr:twoCellAnchor>
    <xdr:from>
      <xdr:col>12</xdr:col>
      <xdr:colOff>66675</xdr:colOff>
      <xdr:row>44</xdr:row>
      <xdr:rowOff>104775</xdr:rowOff>
    </xdr:from>
    <xdr:to>
      <xdr:col>12</xdr:col>
      <xdr:colOff>161925</xdr:colOff>
      <xdr:row>45</xdr:row>
      <xdr:rowOff>66675</xdr:rowOff>
    </xdr:to>
    <xdr:sp macro="" textlink="">
      <xdr:nvSpPr>
        <xdr:cNvPr id="3342" name="Rectangle 5">
          <a:extLst>
            <a:ext uri="{FF2B5EF4-FFF2-40B4-BE49-F238E27FC236}">
              <a16:creationId xmlns:a16="http://schemas.microsoft.com/office/drawing/2014/main" id="{2B303AF2-7C3D-C3DF-B5A6-C844CFBA2C86}"/>
            </a:ext>
          </a:extLst>
        </xdr:cNvPr>
        <xdr:cNvSpPr>
          <a:spLocks noChangeArrowheads="1"/>
        </xdr:cNvSpPr>
      </xdr:nvSpPr>
      <xdr:spPr bwMode="auto">
        <a:xfrm>
          <a:off x="6334125" y="7505700"/>
          <a:ext cx="95250" cy="85725"/>
        </a:xfrm>
        <a:prstGeom prst="rect">
          <a:avLst/>
        </a:prstGeom>
        <a:solidFill>
          <a:srgbClr val="FFFFFF"/>
        </a:solidFill>
        <a:ln w="19050">
          <a:solidFill>
            <a:srgbClr val="000000"/>
          </a:solidFill>
          <a:miter lim="800000"/>
          <a:headEnd/>
          <a:tailEnd/>
        </a:ln>
      </xdr:spPr>
    </xdr:sp>
    <xdr:clientData/>
  </xdr:twoCellAnchor>
  <xdr:twoCellAnchor>
    <xdr:from>
      <xdr:col>11</xdr:col>
      <xdr:colOff>466725</xdr:colOff>
      <xdr:row>46</xdr:row>
      <xdr:rowOff>28575</xdr:rowOff>
    </xdr:from>
    <xdr:to>
      <xdr:col>11</xdr:col>
      <xdr:colOff>571500</xdr:colOff>
      <xdr:row>46</xdr:row>
      <xdr:rowOff>133350</xdr:rowOff>
    </xdr:to>
    <xdr:sp macro="" textlink="">
      <xdr:nvSpPr>
        <xdr:cNvPr id="3343" name="Rectangle 6">
          <a:extLst>
            <a:ext uri="{FF2B5EF4-FFF2-40B4-BE49-F238E27FC236}">
              <a16:creationId xmlns:a16="http://schemas.microsoft.com/office/drawing/2014/main" id="{2AA4C39C-2BB1-E06C-480D-002C3EAA74E8}"/>
            </a:ext>
          </a:extLst>
        </xdr:cNvPr>
        <xdr:cNvSpPr>
          <a:spLocks noChangeArrowheads="1"/>
        </xdr:cNvSpPr>
      </xdr:nvSpPr>
      <xdr:spPr bwMode="auto">
        <a:xfrm>
          <a:off x="6124575" y="7639050"/>
          <a:ext cx="104775" cy="104775"/>
        </a:xfrm>
        <a:prstGeom prst="rect">
          <a:avLst/>
        </a:prstGeom>
        <a:solidFill>
          <a:srgbClr val="FFFFFF"/>
        </a:solidFill>
        <a:ln w="19050">
          <a:solidFill>
            <a:srgbClr val="000000"/>
          </a:solidFill>
          <a:miter lim="800000"/>
          <a:headEnd/>
          <a:tailEnd/>
        </a:ln>
      </xdr:spPr>
    </xdr:sp>
    <xdr:clientData/>
  </xdr:twoCellAnchor>
  <xdr:twoCellAnchor>
    <xdr:from>
      <xdr:col>10</xdr:col>
      <xdr:colOff>781050</xdr:colOff>
      <xdr:row>47</xdr:row>
      <xdr:rowOff>66675</xdr:rowOff>
    </xdr:from>
    <xdr:to>
      <xdr:col>10</xdr:col>
      <xdr:colOff>819150</xdr:colOff>
      <xdr:row>47</xdr:row>
      <xdr:rowOff>104775</xdr:rowOff>
    </xdr:to>
    <xdr:sp macro="" textlink="">
      <xdr:nvSpPr>
        <xdr:cNvPr id="3344" name="Rectangle 7">
          <a:extLst>
            <a:ext uri="{FF2B5EF4-FFF2-40B4-BE49-F238E27FC236}">
              <a16:creationId xmlns:a16="http://schemas.microsoft.com/office/drawing/2014/main" id="{E12B3E53-02AB-2717-9790-BE1C5561B5D4}"/>
            </a:ext>
          </a:extLst>
        </xdr:cNvPr>
        <xdr:cNvSpPr>
          <a:spLocks noChangeArrowheads="1"/>
        </xdr:cNvSpPr>
      </xdr:nvSpPr>
      <xdr:spPr bwMode="auto">
        <a:xfrm>
          <a:off x="5295900" y="7829550"/>
          <a:ext cx="38100" cy="38100"/>
        </a:xfrm>
        <a:prstGeom prst="rect">
          <a:avLst/>
        </a:prstGeom>
        <a:solidFill>
          <a:srgbClr val="000000"/>
        </a:solidFill>
        <a:ln w="9525">
          <a:solidFill>
            <a:srgbClr val="000000"/>
          </a:solidFill>
          <a:miter lim="800000"/>
          <a:headEnd/>
          <a:tailEnd/>
        </a:ln>
      </xdr:spPr>
    </xdr:sp>
    <xdr:clientData/>
  </xdr:twoCellAnchor>
  <xdr:twoCellAnchor>
    <xdr:from>
      <xdr:col>6</xdr:col>
      <xdr:colOff>76200</xdr:colOff>
      <xdr:row>54</xdr:row>
      <xdr:rowOff>66675</xdr:rowOff>
    </xdr:from>
    <xdr:to>
      <xdr:col>6</xdr:col>
      <xdr:colOff>171450</xdr:colOff>
      <xdr:row>55</xdr:row>
      <xdr:rowOff>47625</xdr:rowOff>
    </xdr:to>
    <xdr:sp macro="" textlink="">
      <xdr:nvSpPr>
        <xdr:cNvPr id="3345" name="Rectangle 9">
          <a:extLst>
            <a:ext uri="{FF2B5EF4-FFF2-40B4-BE49-F238E27FC236}">
              <a16:creationId xmlns:a16="http://schemas.microsoft.com/office/drawing/2014/main" id="{1480E184-CF88-EE85-A1CA-309E568EF6C1}"/>
            </a:ext>
          </a:extLst>
        </xdr:cNvPr>
        <xdr:cNvSpPr>
          <a:spLocks noChangeArrowheads="1"/>
        </xdr:cNvSpPr>
      </xdr:nvSpPr>
      <xdr:spPr bwMode="auto">
        <a:xfrm>
          <a:off x="3038475" y="8867775"/>
          <a:ext cx="95250" cy="95250"/>
        </a:xfrm>
        <a:prstGeom prst="rect">
          <a:avLst/>
        </a:prstGeom>
        <a:solidFill>
          <a:srgbClr val="FFFFFF"/>
        </a:solidFill>
        <a:ln w="19050">
          <a:solidFill>
            <a:srgbClr val="000000"/>
          </a:solidFill>
          <a:miter lim="800000"/>
          <a:headEnd/>
          <a:tailEnd/>
        </a:ln>
      </xdr:spPr>
    </xdr:sp>
    <xdr:clientData/>
  </xdr:twoCellAnchor>
  <xdr:twoCellAnchor>
    <xdr:from>
      <xdr:col>6</xdr:col>
      <xdr:colOff>76200</xdr:colOff>
      <xdr:row>56</xdr:row>
      <xdr:rowOff>47625</xdr:rowOff>
    </xdr:from>
    <xdr:to>
      <xdr:col>6</xdr:col>
      <xdr:colOff>171450</xdr:colOff>
      <xdr:row>56</xdr:row>
      <xdr:rowOff>152400</xdr:rowOff>
    </xdr:to>
    <xdr:sp macro="" textlink="">
      <xdr:nvSpPr>
        <xdr:cNvPr id="3346" name="Rectangle 11">
          <a:extLst>
            <a:ext uri="{FF2B5EF4-FFF2-40B4-BE49-F238E27FC236}">
              <a16:creationId xmlns:a16="http://schemas.microsoft.com/office/drawing/2014/main" id="{F0F0F7EF-DF5D-26AE-B242-B1D746E21027}"/>
            </a:ext>
          </a:extLst>
        </xdr:cNvPr>
        <xdr:cNvSpPr>
          <a:spLocks noChangeArrowheads="1"/>
        </xdr:cNvSpPr>
      </xdr:nvSpPr>
      <xdr:spPr bwMode="auto">
        <a:xfrm>
          <a:off x="3038475" y="9039225"/>
          <a:ext cx="95250" cy="104775"/>
        </a:xfrm>
        <a:prstGeom prst="rect">
          <a:avLst/>
        </a:prstGeom>
        <a:solidFill>
          <a:srgbClr val="FFFFFF"/>
        </a:solidFill>
        <a:ln w="19050">
          <a:solidFill>
            <a:srgbClr val="000000"/>
          </a:solidFill>
          <a:miter lim="800000"/>
          <a:headEnd/>
          <a:tailEnd/>
        </a:ln>
      </xdr:spPr>
    </xdr:sp>
    <xdr:clientData/>
  </xdr:twoCellAnchor>
  <xdr:twoCellAnchor>
    <xdr:from>
      <xdr:col>4</xdr:col>
      <xdr:colOff>114300</xdr:colOff>
      <xdr:row>54</xdr:row>
      <xdr:rowOff>66675</xdr:rowOff>
    </xdr:from>
    <xdr:to>
      <xdr:col>4</xdr:col>
      <xdr:colOff>219075</xdr:colOff>
      <xdr:row>55</xdr:row>
      <xdr:rowOff>38100</xdr:rowOff>
    </xdr:to>
    <xdr:sp macro="" textlink="">
      <xdr:nvSpPr>
        <xdr:cNvPr id="3347" name="Rectangle 12">
          <a:extLst>
            <a:ext uri="{FF2B5EF4-FFF2-40B4-BE49-F238E27FC236}">
              <a16:creationId xmlns:a16="http://schemas.microsoft.com/office/drawing/2014/main" id="{7C5F7788-DD70-8673-473B-BCEB169CE65A}"/>
            </a:ext>
          </a:extLst>
        </xdr:cNvPr>
        <xdr:cNvSpPr>
          <a:spLocks noChangeArrowheads="1"/>
        </xdr:cNvSpPr>
      </xdr:nvSpPr>
      <xdr:spPr bwMode="auto">
        <a:xfrm>
          <a:off x="2095500" y="8867775"/>
          <a:ext cx="104775" cy="85725"/>
        </a:xfrm>
        <a:prstGeom prst="rect">
          <a:avLst/>
        </a:prstGeom>
        <a:solidFill>
          <a:srgbClr val="FFFFFF"/>
        </a:solidFill>
        <a:ln w="19050">
          <a:solidFill>
            <a:srgbClr val="000000"/>
          </a:solidFill>
          <a:miter lim="800000"/>
          <a:headEnd/>
          <a:tailEnd/>
        </a:ln>
      </xdr:spPr>
    </xdr:sp>
    <xdr:clientData/>
  </xdr:twoCellAnchor>
  <xdr:twoCellAnchor>
    <xdr:from>
      <xdr:col>4</xdr:col>
      <xdr:colOff>114300</xdr:colOff>
      <xdr:row>53</xdr:row>
      <xdr:rowOff>66675</xdr:rowOff>
    </xdr:from>
    <xdr:to>
      <xdr:col>4</xdr:col>
      <xdr:colOff>219075</xdr:colOff>
      <xdr:row>53</xdr:row>
      <xdr:rowOff>171450</xdr:rowOff>
    </xdr:to>
    <xdr:sp macro="" textlink="">
      <xdr:nvSpPr>
        <xdr:cNvPr id="3348" name="Rectangle 13">
          <a:extLst>
            <a:ext uri="{FF2B5EF4-FFF2-40B4-BE49-F238E27FC236}">
              <a16:creationId xmlns:a16="http://schemas.microsoft.com/office/drawing/2014/main" id="{BC8EC91C-84D7-D524-8938-FE1169E87FBC}"/>
            </a:ext>
          </a:extLst>
        </xdr:cNvPr>
        <xdr:cNvSpPr>
          <a:spLocks noChangeArrowheads="1"/>
        </xdr:cNvSpPr>
      </xdr:nvSpPr>
      <xdr:spPr bwMode="auto">
        <a:xfrm>
          <a:off x="2095500" y="8686800"/>
          <a:ext cx="104775" cy="104775"/>
        </a:xfrm>
        <a:prstGeom prst="rect">
          <a:avLst/>
        </a:prstGeom>
        <a:solidFill>
          <a:srgbClr val="FFFFFF"/>
        </a:solidFill>
        <a:ln w="19050">
          <a:solidFill>
            <a:srgbClr val="000000"/>
          </a:solidFill>
          <a:miter lim="800000"/>
          <a:headEnd/>
          <a:tailEnd/>
        </a:ln>
      </xdr:spPr>
    </xdr:sp>
    <xdr:clientData/>
  </xdr:twoCellAnchor>
  <xdr:twoCellAnchor>
    <xdr:from>
      <xdr:col>6</xdr:col>
      <xdr:colOff>76200</xdr:colOff>
      <xdr:row>53</xdr:row>
      <xdr:rowOff>47625</xdr:rowOff>
    </xdr:from>
    <xdr:to>
      <xdr:col>6</xdr:col>
      <xdr:colOff>171450</xdr:colOff>
      <xdr:row>53</xdr:row>
      <xdr:rowOff>152400</xdr:rowOff>
    </xdr:to>
    <xdr:sp macro="" textlink="">
      <xdr:nvSpPr>
        <xdr:cNvPr id="3349" name="Rectangle 14">
          <a:extLst>
            <a:ext uri="{FF2B5EF4-FFF2-40B4-BE49-F238E27FC236}">
              <a16:creationId xmlns:a16="http://schemas.microsoft.com/office/drawing/2014/main" id="{9868FA97-A069-40CD-35B9-6D9B78D67CAC}"/>
            </a:ext>
          </a:extLst>
        </xdr:cNvPr>
        <xdr:cNvSpPr>
          <a:spLocks noChangeArrowheads="1"/>
        </xdr:cNvSpPr>
      </xdr:nvSpPr>
      <xdr:spPr bwMode="auto">
        <a:xfrm>
          <a:off x="3038475" y="8667750"/>
          <a:ext cx="95250" cy="104775"/>
        </a:xfrm>
        <a:prstGeom prst="rect">
          <a:avLst/>
        </a:prstGeom>
        <a:solidFill>
          <a:srgbClr val="FFFFFF"/>
        </a:solidFill>
        <a:ln w="19050">
          <a:solidFill>
            <a:srgbClr val="000000"/>
          </a:solidFill>
          <a:miter lim="800000"/>
          <a:headEnd/>
          <a:tailEnd/>
        </a:ln>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EB6E5-09BF-432A-AA50-CB39F2138C22}">
  <dimension ref="A1:V59"/>
  <sheetViews>
    <sheetView workbookViewId="0">
      <selection activeCell="T28" sqref="T28"/>
    </sheetView>
  </sheetViews>
  <sheetFormatPr defaultRowHeight="12.75" x14ac:dyDescent="0.2"/>
  <cols>
    <col min="1" max="4" width="7.42578125" style="11" customWidth="1"/>
    <col min="5" max="5" width="9.140625" style="11"/>
    <col min="6" max="6" width="5.5703125" style="11" customWidth="1"/>
    <col min="7" max="7" width="3.5703125" style="11" customWidth="1"/>
    <col min="8" max="8" width="5.140625" style="11" customWidth="1"/>
    <col min="9" max="9" width="6.140625" style="11" customWidth="1"/>
    <col min="10" max="10" width="9.140625" style="11"/>
    <col min="11" max="11" width="17.140625" style="11" customWidth="1"/>
    <col min="12" max="12" width="9.140625" style="11"/>
    <col min="13" max="13" width="9" style="11" customWidth="1"/>
    <col min="14" max="256" width="9.140625" style="11"/>
    <col min="257" max="260" width="7.42578125" style="11" customWidth="1"/>
    <col min="261" max="261" width="9.140625" style="11"/>
    <col min="262" max="262" width="5.5703125" style="11" customWidth="1"/>
    <col min="263" max="263" width="3.5703125" style="11" customWidth="1"/>
    <col min="264" max="264" width="5.140625" style="11" customWidth="1"/>
    <col min="265" max="265" width="5.42578125" style="11" customWidth="1"/>
    <col min="266" max="266" width="9.140625" style="11"/>
    <col min="267" max="267" width="17.140625" style="11" customWidth="1"/>
    <col min="268" max="268" width="9.140625" style="11"/>
    <col min="269" max="269" width="9" style="11" customWidth="1"/>
    <col min="270" max="512" width="9.140625" style="11"/>
    <col min="513" max="516" width="7.42578125" style="11" customWidth="1"/>
    <col min="517" max="517" width="9.140625" style="11"/>
    <col min="518" max="518" width="5.5703125" style="11" customWidth="1"/>
    <col min="519" max="519" width="3.5703125" style="11" customWidth="1"/>
    <col min="520" max="520" width="5.140625" style="11" customWidth="1"/>
    <col min="521" max="521" width="5.42578125" style="11" customWidth="1"/>
    <col min="522" max="522" width="9.140625" style="11"/>
    <col min="523" max="523" width="17.140625" style="11" customWidth="1"/>
    <col min="524" max="524" width="9.140625" style="11"/>
    <col min="525" max="525" width="9" style="11" customWidth="1"/>
    <col min="526" max="768" width="9.140625" style="11"/>
    <col min="769" max="772" width="7.42578125" style="11" customWidth="1"/>
    <col min="773" max="773" width="9.140625" style="11"/>
    <col min="774" max="774" width="5.5703125" style="11" customWidth="1"/>
    <col min="775" max="775" width="3.5703125" style="11" customWidth="1"/>
    <col min="776" max="776" width="5.140625" style="11" customWidth="1"/>
    <col min="777" max="777" width="5.42578125" style="11" customWidth="1"/>
    <col min="778" max="778" width="9.140625" style="11"/>
    <col min="779" max="779" width="17.140625" style="11" customWidth="1"/>
    <col min="780" max="780" width="9.140625" style="11"/>
    <col min="781" max="781" width="9" style="11" customWidth="1"/>
    <col min="782" max="1024" width="9.140625" style="11"/>
    <col min="1025" max="1028" width="7.42578125" style="11" customWidth="1"/>
    <col min="1029" max="1029" width="9.140625" style="11"/>
    <col min="1030" max="1030" width="5.5703125" style="11" customWidth="1"/>
    <col min="1031" max="1031" width="3.5703125" style="11" customWidth="1"/>
    <col min="1032" max="1032" width="5.140625" style="11" customWidth="1"/>
    <col min="1033" max="1033" width="5.42578125" style="11" customWidth="1"/>
    <col min="1034" max="1034" width="9.140625" style="11"/>
    <col min="1035" max="1035" width="17.140625" style="11" customWidth="1"/>
    <col min="1036" max="1036" width="9.140625" style="11"/>
    <col min="1037" max="1037" width="9" style="11" customWidth="1"/>
    <col min="1038" max="1280" width="9.140625" style="11"/>
    <col min="1281" max="1284" width="7.42578125" style="11" customWidth="1"/>
    <col min="1285" max="1285" width="9.140625" style="11"/>
    <col min="1286" max="1286" width="5.5703125" style="11" customWidth="1"/>
    <col min="1287" max="1287" width="3.5703125" style="11" customWidth="1"/>
    <col min="1288" max="1288" width="5.140625" style="11" customWidth="1"/>
    <col min="1289" max="1289" width="5.42578125" style="11" customWidth="1"/>
    <col min="1290" max="1290" width="9.140625" style="11"/>
    <col min="1291" max="1291" width="17.140625" style="11" customWidth="1"/>
    <col min="1292" max="1292" width="9.140625" style="11"/>
    <col min="1293" max="1293" width="9" style="11" customWidth="1"/>
    <col min="1294" max="1536" width="9.140625" style="11"/>
    <col min="1537" max="1540" width="7.42578125" style="11" customWidth="1"/>
    <col min="1541" max="1541" width="9.140625" style="11"/>
    <col min="1542" max="1542" width="5.5703125" style="11" customWidth="1"/>
    <col min="1543" max="1543" width="3.5703125" style="11" customWidth="1"/>
    <col min="1544" max="1544" width="5.140625" style="11" customWidth="1"/>
    <col min="1545" max="1545" width="5.42578125" style="11" customWidth="1"/>
    <col min="1546" max="1546" width="9.140625" style="11"/>
    <col min="1547" max="1547" width="17.140625" style="11" customWidth="1"/>
    <col min="1548" max="1548" width="9.140625" style="11"/>
    <col min="1549" max="1549" width="9" style="11" customWidth="1"/>
    <col min="1550" max="1792" width="9.140625" style="11"/>
    <col min="1793" max="1796" width="7.42578125" style="11" customWidth="1"/>
    <col min="1797" max="1797" width="9.140625" style="11"/>
    <col min="1798" max="1798" width="5.5703125" style="11" customWidth="1"/>
    <col min="1799" max="1799" width="3.5703125" style="11" customWidth="1"/>
    <col min="1800" max="1800" width="5.140625" style="11" customWidth="1"/>
    <col min="1801" max="1801" width="5.42578125" style="11" customWidth="1"/>
    <col min="1802" max="1802" width="9.140625" style="11"/>
    <col min="1803" max="1803" width="17.140625" style="11" customWidth="1"/>
    <col min="1804" max="1804" width="9.140625" style="11"/>
    <col min="1805" max="1805" width="9" style="11" customWidth="1"/>
    <col min="1806" max="2048" width="9.140625" style="11"/>
    <col min="2049" max="2052" width="7.42578125" style="11" customWidth="1"/>
    <col min="2053" max="2053" width="9.140625" style="11"/>
    <col min="2054" max="2054" width="5.5703125" style="11" customWidth="1"/>
    <col min="2055" max="2055" width="3.5703125" style="11" customWidth="1"/>
    <col min="2056" max="2056" width="5.140625" style="11" customWidth="1"/>
    <col min="2057" max="2057" width="5.42578125" style="11" customWidth="1"/>
    <col min="2058" max="2058" width="9.140625" style="11"/>
    <col min="2059" max="2059" width="17.140625" style="11" customWidth="1"/>
    <col min="2060" max="2060" width="9.140625" style="11"/>
    <col min="2061" max="2061" width="9" style="11" customWidth="1"/>
    <col min="2062" max="2304" width="9.140625" style="11"/>
    <col min="2305" max="2308" width="7.42578125" style="11" customWidth="1"/>
    <col min="2309" max="2309" width="9.140625" style="11"/>
    <col min="2310" max="2310" width="5.5703125" style="11" customWidth="1"/>
    <col min="2311" max="2311" width="3.5703125" style="11" customWidth="1"/>
    <col min="2312" max="2312" width="5.140625" style="11" customWidth="1"/>
    <col min="2313" max="2313" width="5.42578125" style="11" customWidth="1"/>
    <col min="2314" max="2314" width="9.140625" style="11"/>
    <col min="2315" max="2315" width="17.140625" style="11" customWidth="1"/>
    <col min="2316" max="2316" width="9.140625" style="11"/>
    <col min="2317" max="2317" width="9" style="11" customWidth="1"/>
    <col min="2318" max="2560" width="9.140625" style="11"/>
    <col min="2561" max="2564" width="7.42578125" style="11" customWidth="1"/>
    <col min="2565" max="2565" width="9.140625" style="11"/>
    <col min="2566" max="2566" width="5.5703125" style="11" customWidth="1"/>
    <col min="2567" max="2567" width="3.5703125" style="11" customWidth="1"/>
    <col min="2568" max="2568" width="5.140625" style="11" customWidth="1"/>
    <col min="2569" max="2569" width="5.42578125" style="11" customWidth="1"/>
    <col min="2570" max="2570" width="9.140625" style="11"/>
    <col min="2571" max="2571" width="17.140625" style="11" customWidth="1"/>
    <col min="2572" max="2572" width="9.140625" style="11"/>
    <col min="2573" max="2573" width="9" style="11" customWidth="1"/>
    <col min="2574" max="2816" width="9.140625" style="11"/>
    <col min="2817" max="2820" width="7.42578125" style="11" customWidth="1"/>
    <col min="2821" max="2821" width="9.140625" style="11"/>
    <col min="2822" max="2822" width="5.5703125" style="11" customWidth="1"/>
    <col min="2823" max="2823" width="3.5703125" style="11" customWidth="1"/>
    <col min="2824" max="2824" width="5.140625" style="11" customWidth="1"/>
    <col min="2825" max="2825" width="5.42578125" style="11" customWidth="1"/>
    <col min="2826" max="2826" width="9.140625" style="11"/>
    <col min="2827" max="2827" width="17.140625" style="11" customWidth="1"/>
    <col min="2828" max="2828" width="9.140625" style="11"/>
    <col min="2829" max="2829" width="9" style="11" customWidth="1"/>
    <col min="2830" max="3072" width="9.140625" style="11"/>
    <col min="3073" max="3076" width="7.42578125" style="11" customWidth="1"/>
    <col min="3077" max="3077" width="9.140625" style="11"/>
    <col min="3078" max="3078" width="5.5703125" style="11" customWidth="1"/>
    <col min="3079" max="3079" width="3.5703125" style="11" customWidth="1"/>
    <col min="3080" max="3080" width="5.140625" style="11" customWidth="1"/>
    <col min="3081" max="3081" width="5.42578125" style="11" customWidth="1"/>
    <col min="3082" max="3082" width="9.140625" style="11"/>
    <col min="3083" max="3083" width="17.140625" style="11" customWidth="1"/>
    <col min="3084" max="3084" width="9.140625" style="11"/>
    <col min="3085" max="3085" width="9" style="11" customWidth="1"/>
    <col min="3086" max="3328" width="9.140625" style="11"/>
    <col min="3329" max="3332" width="7.42578125" style="11" customWidth="1"/>
    <col min="3333" max="3333" width="9.140625" style="11"/>
    <col min="3334" max="3334" width="5.5703125" style="11" customWidth="1"/>
    <col min="3335" max="3335" width="3.5703125" style="11" customWidth="1"/>
    <col min="3336" max="3336" width="5.140625" style="11" customWidth="1"/>
    <col min="3337" max="3337" width="5.42578125" style="11" customWidth="1"/>
    <col min="3338" max="3338" width="9.140625" style="11"/>
    <col min="3339" max="3339" width="17.140625" style="11" customWidth="1"/>
    <col min="3340" max="3340" width="9.140625" style="11"/>
    <col min="3341" max="3341" width="9" style="11" customWidth="1"/>
    <col min="3342" max="3584" width="9.140625" style="11"/>
    <col min="3585" max="3588" width="7.42578125" style="11" customWidth="1"/>
    <col min="3589" max="3589" width="9.140625" style="11"/>
    <col min="3590" max="3590" width="5.5703125" style="11" customWidth="1"/>
    <col min="3591" max="3591" width="3.5703125" style="11" customWidth="1"/>
    <col min="3592" max="3592" width="5.140625" style="11" customWidth="1"/>
    <col min="3593" max="3593" width="5.42578125" style="11" customWidth="1"/>
    <col min="3594" max="3594" width="9.140625" style="11"/>
    <col min="3595" max="3595" width="17.140625" style="11" customWidth="1"/>
    <col min="3596" max="3596" width="9.140625" style="11"/>
    <col min="3597" max="3597" width="9" style="11" customWidth="1"/>
    <col min="3598" max="3840" width="9.140625" style="11"/>
    <col min="3841" max="3844" width="7.42578125" style="11" customWidth="1"/>
    <col min="3845" max="3845" width="9.140625" style="11"/>
    <col min="3846" max="3846" width="5.5703125" style="11" customWidth="1"/>
    <col min="3847" max="3847" width="3.5703125" style="11" customWidth="1"/>
    <col min="3848" max="3848" width="5.140625" style="11" customWidth="1"/>
    <col min="3849" max="3849" width="5.42578125" style="11" customWidth="1"/>
    <col min="3850" max="3850" width="9.140625" style="11"/>
    <col min="3851" max="3851" width="17.140625" style="11" customWidth="1"/>
    <col min="3852" max="3852" width="9.140625" style="11"/>
    <col min="3853" max="3853" width="9" style="11" customWidth="1"/>
    <col min="3854" max="4096" width="9.140625" style="11"/>
    <col min="4097" max="4100" width="7.42578125" style="11" customWidth="1"/>
    <col min="4101" max="4101" width="9.140625" style="11"/>
    <col min="4102" max="4102" width="5.5703125" style="11" customWidth="1"/>
    <col min="4103" max="4103" width="3.5703125" style="11" customWidth="1"/>
    <col min="4104" max="4104" width="5.140625" style="11" customWidth="1"/>
    <col min="4105" max="4105" width="5.42578125" style="11" customWidth="1"/>
    <col min="4106" max="4106" width="9.140625" style="11"/>
    <col min="4107" max="4107" width="17.140625" style="11" customWidth="1"/>
    <col min="4108" max="4108" width="9.140625" style="11"/>
    <col min="4109" max="4109" width="9" style="11" customWidth="1"/>
    <col min="4110" max="4352" width="9.140625" style="11"/>
    <col min="4353" max="4356" width="7.42578125" style="11" customWidth="1"/>
    <col min="4357" max="4357" width="9.140625" style="11"/>
    <col min="4358" max="4358" width="5.5703125" style="11" customWidth="1"/>
    <col min="4359" max="4359" width="3.5703125" style="11" customWidth="1"/>
    <col min="4360" max="4360" width="5.140625" style="11" customWidth="1"/>
    <col min="4361" max="4361" width="5.42578125" style="11" customWidth="1"/>
    <col min="4362" max="4362" width="9.140625" style="11"/>
    <col min="4363" max="4363" width="17.140625" style="11" customWidth="1"/>
    <col min="4364" max="4364" width="9.140625" style="11"/>
    <col min="4365" max="4365" width="9" style="11" customWidth="1"/>
    <col min="4366" max="4608" width="9.140625" style="11"/>
    <col min="4609" max="4612" width="7.42578125" style="11" customWidth="1"/>
    <col min="4613" max="4613" width="9.140625" style="11"/>
    <col min="4614" max="4614" width="5.5703125" style="11" customWidth="1"/>
    <col min="4615" max="4615" width="3.5703125" style="11" customWidth="1"/>
    <col min="4616" max="4616" width="5.140625" style="11" customWidth="1"/>
    <col min="4617" max="4617" width="5.42578125" style="11" customWidth="1"/>
    <col min="4618" max="4618" width="9.140625" style="11"/>
    <col min="4619" max="4619" width="17.140625" style="11" customWidth="1"/>
    <col min="4620" max="4620" width="9.140625" style="11"/>
    <col min="4621" max="4621" width="9" style="11" customWidth="1"/>
    <col min="4622" max="4864" width="9.140625" style="11"/>
    <col min="4865" max="4868" width="7.42578125" style="11" customWidth="1"/>
    <col min="4869" max="4869" width="9.140625" style="11"/>
    <col min="4870" max="4870" width="5.5703125" style="11" customWidth="1"/>
    <col min="4871" max="4871" width="3.5703125" style="11" customWidth="1"/>
    <col min="4872" max="4872" width="5.140625" style="11" customWidth="1"/>
    <col min="4873" max="4873" width="5.42578125" style="11" customWidth="1"/>
    <col min="4874" max="4874" width="9.140625" style="11"/>
    <col min="4875" max="4875" width="17.140625" style="11" customWidth="1"/>
    <col min="4876" max="4876" width="9.140625" style="11"/>
    <col min="4877" max="4877" width="9" style="11" customWidth="1"/>
    <col min="4878" max="5120" width="9.140625" style="11"/>
    <col min="5121" max="5124" width="7.42578125" style="11" customWidth="1"/>
    <col min="5125" max="5125" width="9.140625" style="11"/>
    <col min="5126" max="5126" width="5.5703125" style="11" customWidth="1"/>
    <col min="5127" max="5127" width="3.5703125" style="11" customWidth="1"/>
    <col min="5128" max="5128" width="5.140625" style="11" customWidth="1"/>
    <col min="5129" max="5129" width="5.42578125" style="11" customWidth="1"/>
    <col min="5130" max="5130" width="9.140625" style="11"/>
    <col min="5131" max="5131" width="17.140625" style="11" customWidth="1"/>
    <col min="5132" max="5132" width="9.140625" style="11"/>
    <col min="5133" max="5133" width="9" style="11" customWidth="1"/>
    <col min="5134" max="5376" width="9.140625" style="11"/>
    <col min="5377" max="5380" width="7.42578125" style="11" customWidth="1"/>
    <col min="5381" max="5381" width="9.140625" style="11"/>
    <col min="5382" max="5382" width="5.5703125" style="11" customWidth="1"/>
    <col min="5383" max="5383" width="3.5703125" style="11" customWidth="1"/>
    <col min="5384" max="5384" width="5.140625" style="11" customWidth="1"/>
    <col min="5385" max="5385" width="5.42578125" style="11" customWidth="1"/>
    <col min="5386" max="5386" width="9.140625" style="11"/>
    <col min="5387" max="5387" width="17.140625" style="11" customWidth="1"/>
    <col min="5388" max="5388" width="9.140625" style="11"/>
    <col min="5389" max="5389" width="9" style="11" customWidth="1"/>
    <col min="5390" max="5632" width="9.140625" style="11"/>
    <col min="5633" max="5636" width="7.42578125" style="11" customWidth="1"/>
    <col min="5637" max="5637" width="9.140625" style="11"/>
    <col min="5638" max="5638" width="5.5703125" style="11" customWidth="1"/>
    <col min="5639" max="5639" width="3.5703125" style="11" customWidth="1"/>
    <col min="5640" max="5640" width="5.140625" style="11" customWidth="1"/>
    <col min="5641" max="5641" width="5.42578125" style="11" customWidth="1"/>
    <col min="5642" max="5642" width="9.140625" style="11"/>
    <col min="5643" max="5643" width="17.140625" style="11" customWidth="1"/>
    <col min="5644" max="5644" width="9.140625" style="11"/>
    <col min="5645" max="5645" width="9" style="11" customWidth="1"/>
    <col min="5646" max="5888" width="9.140625" style="11"/>
    <col min="5889" max="5892" width="7.42578125" style="11" customWidth="1"/>
    <col min="5893" max="5893" width="9.140625" style="11"/>
    <col min="5894" max="5894" width="5.5703125" style="11" customWidth="1"/>
    <col min="5895" max="5895" width="3.5703125" style="11" customWidth="1"/>
    <col min="5896" max="5896" width="5.140625" style="11" customWidth="1"/>
    <col min="5897" max="5897" width="5.42578125" style="11" customWidth="1"/>
    <col min="5898" max="5898" width="9.140625" style="11"/>
    <col min="5899" max="5899" width="17.140625" style="11" customWidth="1"/>
    <col min="5900" max="5900" width="9.140625" style="11"/>
    <col min="5901" max="5901" width="9" style="11" customWidth="1"/>
    <col min="5902" max="6144" width="9.140625" style="11"/>
    <col min="6145" max="6148" width="7.42578125" style="11" customWidth="1"/>
    <col min="6149" max="6149" width="9.140625" style="11"/>
    <col min="6150" max="6150" width="5.5703125" style="11" customWidth="1"/>
    <col min="6151" max="6151" width="3.5703125" style="11" customWidth="1"/>
    <col min="6152" max="6152" width="5.140625" style="11" customWidth="1"/>
    <col min="6153" max="6153" width="5.42578125" style="11" customWidth="1"/>
    <col min="6154" max="6154" width="9.140625" style="11"/>
    <col min="6155" max="6155" width="17.140625" style="11" customWidth="1"/>
    <col min="6156" max="6156" width="9.140625" style="11"/>
    <col min="6157" max="6157" width="9" style="11" customWidth="1"/>
    <col min="6158" max="6400" width="9.140625" style="11"/>
    <col min="6401" max="6404" width="7.42578125" style="11" customWidth="1"/>
    <col min="6405" max="6405" width="9.140625" style="11"/>
    <col min="6406" max="6406" width="5.5703125" style="11" customWidth="1"/>
    <col min="6407" max="6407" width="3.5703125" style="11" customWidth="1"/>
    <col min="6408" max="6408" width="5.140625" style="11" customWidth="1"/>
    <col min="6409" max="6409" width="5.42578125" style="11" customWidth="1"/>
    <col min="6410" max="6410" width="9.140625" style="11"/>
    <col min="6411" max="6411" width="17.140625" style="11" customWidth="1"/>
    <col min="6412" max="6412" width="9.140625" style="11"/>
    <col min="6413" max="6413" width="9" style="11" customWidth="1"/>
    <col min="6414" max="6656" width="9.140625" style="11"/>
    <col min="6657" max="6660" width="7.42578125" style="11" customWidth="1"/>
    <col min="6661" max="6661" width="9.140625" style="11"/>
    <col min="6662" max="6662" width="5.5703125" style="11" customWidth="1"/>
    <col min="6663" max="6663" width="3.5703125" style="11" customWidth="1"/>
    <col min="6664" max="6664" width="5.140625" style="11" customWidth="1"/>
    <col min="6665" max="6665" width="5.42578125" style="11" customWidth="1"/>
    <col min="6666" max="6666" width="9.140625" style="11"/>
    <col min="6667" max="6667" width="17.140625" style="11" customWidth="1"/>
    <col min="6668" max="6668" width="9.140625" style="11"/>
    <col min="6669" max="6669" width="9" style="11" customWidth="1"/>
    <col min="6670" max="6912" width="9.140625" style="11"/>
    <col min="6913" max="6916" width="7.42578125" style="11" customWidth="1"/>
    <col min="6917" max="6917" width="9.140625" style="11"/>
    <col min="6918" max="6918" width="5.5703125" style="11" customWidth="1"/>
    <col min="6919" max="6919" width="3.5703125" style="11" customWidth="1"/>
    <col min="6920" max="6920" width="5.140625" style="11" customWidth="1"/>
    <col min="6921" max="6921" width="5.42578125" style="11" customWidth="1"/>
    <col min="6922" max="6922" width="9.140625" style="11"/>
    <col min="6923" max="6923" width="17.140625" style="11" customWidth="1"/>
    <col min="6924" max="6924" width="9.140625" style="11"/>
    <col min="6925" max="6925" width="9" style="11" customWidth="1"/>
    <col min="6926" max="7168" width="9.140625" style="11"/>
    <col min="7169" max="7172" width="7.42578125" style="11" customWidth="1"/>
    <col min="7173" max="7173" width="9.140625" style="11"/>
    <col min="7174" max="7174" width="5.5703125" style="11" customWidth="1"/>
    <col min="7175" max="7175" width="3.5703125" style="11" customWidth="1"/>
    <col min="7176" max="7176" width="5.140625" style="11" customWidth="1"/>
    <col min="7177" max="7177" width="5.42578125" style="11" customWidth="1"/>
    <col min="7178" max="7178" width="9.140625" style="11"/>
    <col min="7179" max="7179" width="17.140625" style="11" customWidth="1"/>
    <col min="7180" max="7180" width="9.140625" style="11"/>
    <col min="7181" max="7181" width="9" style="11" customWidth="1"/>
    <col min="7182" max="7424" width="9.140625" style="11"/>
    <col min="7425" max="7428" width="7.42578125" style="11" customWidth="1"/>
    <col min="7429" max="7429" width="9.140625" style="11"/>
    <col min="7430" max="7430" width="5.5703125" style="11" customWidth="1"/>
    <col min="7431" max="7431" width="3.5703125" style="11" customWidth="1"/>
    <col min="7432" max="7432" width="5.140625" style="11" customWidth="1"/>
    <col min="7433" max="7433" width="5.42578125" style="11" customWidth="1"/>
    <col min="7434" max="7434" width="9.140625" style="11"/>
    <col min="7435" max="7435" width="17.140625" style="11" customWidth="1"/>
    <col min="7436" max="7436" width="9.140625" style="11"/>
    <col min="7437" max="7437" width="9" style="11" customWidth="1"/>
    <col min="7438" max="7680" width="9.140625" style="11"/>
    <col min="7681" max="7684" width="7.42578125" style="11" customWidth="1"/>
    <col min="7685" max="7685" width="9.140625" style="11"/>
    <col min="7686" max="7686" width="5.5703125" style="11" customWidth="1"/>
    <col min="7687" max="7687" width="3.5703125" style="11" customWidth="1"/>
    <col min="7688" max="7688" width="5.140625" style="11" customWidth="1"/>
    <col min="7689" max="7689" width="5.42578125" style="11" customWidth="1"/>
    <col min="7690" max="7690" width="9.140625" style="11"/>
    <col min="7691" max="7691" width="17.140625" style="11" customWidth="1"/>
    <col min="7692" max="7692" width="9.140625" style="11"/>
    <col min="7693" max="7693" width="9" style="11" customWidth="1"/>
    <col min="7694" max="7936" width="9.140625" style="11"/>
    <col min="7937" max="7940" width="7.42578125" style="11" customWidth="1"/>
    <col min="7941" max="7941" width="9.140625" style="11"/>
    <col min="7942" max="7942" width="5.5703125" style="11" customWidth="1"/>
    <col min="7943" max="7943" width="3.5703125" style="11" customWidth="1"/>
    <col min="7944" max="7944" width="5.140625" style="11" customWidth="1"/>
    <col min="7945" max="7945" width="5.42578125" style="11" customWidth="1"/>
    <col min="7946" max="7946" width="9.140625" style="11"/>
    <col min="7947" max="7947" width="17.140625" style="11" customWidth="1"/>
    <col min="7948" max="7948" width="9.140625" style="11"/>
    <col min="7949" max="7949" width="9" style="11" customWidth="1"/>
    <col min="7950" max="8192" width="9.140625" style="11"/>
    <col min="8193" max="8196" width="7.42578125" style="11" customWidth="1"/>
    <col min="8197" max="8197" width="9.140625" style="11"/>
    <col min="8198" max="8198" width="5.5703125" style="11" customWidth="1"/>
    <col min="8199" max="8199" width="3.5703125" style="11" customWidth="1"/>
    <col min="8200" max="8200" width="5.140625" style="11" customWidth="1"/>
    <col min="8201" max="8201" width="5.42578125" style="11" customWidth="1"/>
    <col min="8202" max="8202" width="9.140625" style="11"/>
    <col min="8203" max="8203" width="17.140625" style="11" customWidth="1"/>
    <col min="8204" max="8204" width="9.140625" style="11"/>
    <col min="8205" max="8205" width="9" style="11" customWidth="1"/>
    <col min="8206" max="8448" width="9.140625" style="11"/>
    <col min="8449" max="8452" width="7.42578125" style="11" customWidth="1"/>
    <col min="8453" max="8453" width="9.140625" style="11"/>
    <col min="8454" max="8454" width="5.5703125" style="11" customWidth="1"/>
    <col min="8455" max="8455" width="3.5703125" style="11" customWidth="1"/>
    <col min="8456" max="8456" width="5.140625" style="11" customWidth="1"/>
    <col min="8457" max="8457" width="5.42578125" style="11" customWidth="1"/>
    <col min="8458" max="8458" width="9.140625" style="11"/>
    <col min="8459" max="8459" width="17.140625" style="11" customWidth="1"/>
    <col min="8460" max="8460" width="9.140625" style="11"/>
    <col min="8461" max="8461" width="9" style="11" customWidth="1"/>
    <col min="8462" max="8704" width="9.140625" style="11"/>
    <col min="8705" max="8708" width="7.42578125" style="11" customWidth="1"/>
    <col min="8709" max="8709" width="9.140625" style="11"/>
    <col min="8710" max="8710" width="5.5703125" style="11" customWidth="1"/>
    <col min="8711" max="8711" width="3.5703125" style="11" customWidth="1"/>
    <col min="8712" max="8712" width="5.140625" style="11" customWidth="1"/>
    <col min="8713" max="8713" width="5.42578125" style="11" customWidth="1"/>
    <col min="8714" max="8714" width="9.140625" style="11"/>
    <col min="8715" max="8715" width="17.140625" style="11" customWidth="1"/>
    <col min="8716" max="8716" width="9.140625" style="11"/>
    <col min="8717" max="8717" width="9" style="11" customWidth="1"/>
    <col min="8718" max="8960" width="9.140625" style="11"/>
    <col min="8961" max="8964" width="7.42578125" style="11" customWidth="1"/>
    <col min="8965" max="8965" width="9.140625" style="11"/>
    <col min="8966" max="8966" width="5.5703125" style="11" customWidth="1"/>
    <col min="8967" max="8967" width="3.5703125" style="11" customWidth="1"/>
    <col min="8968" max="8968" width="5.140625" style="11" customWidth="1"/>
    <col min="8969" max="8969" width="5.42578125" style="11" customWidth="1"/>
    <col min="8970" max="8970" width="9.140625" style="11"/>
    <col min="8971" max="8971" width="17.140625" style="11" customWidth="1"/>
    <col min="8972" max="8972" width="9.140625" style="11"/>
    <col min="8973" max="8973" width="9" style="11" customWidth="1"/>
    <col min="8974" max="9216" width="9.140625" style="11"/>
    <col min="9217" max="9220" width="7.42578125" style="11" customWidth="1"/>
    <col min="9221" max="9221" width="9.140625" style="11"/>
    <col min="9222" max="9222" width="5.5703125" style="11" customWidth="1"/>
    <col min="9223" max="9223" width="3.5703125" style="11" customWidth="1"/>
    <col min="9224" max="9224" width="5.140625" style="11" customWidth="1"/>
    <col min="9225" max="9225" width="5.42578125" style="11" customWidth="1"/>
    <col min="9226" max="9226" width="9.140625" style="11"/>
    <col min="9227" max="9227" width="17.140625" style="11" customWidth="1"/>
    <col min="9228" max="9228" width="9.140625" style="11"/>
    <col min="9229" max="9229" width="9" style="11" customWidth="1"/>
    <col min="9230" max="9472" width="9.140625" style="11"/>
    <col min="9473" max="9476" width="7.42578125" style="11" customWidth="1"/>
    <col min="9477" max="9477" width="9.140625" style="11"/>
    <col min="9478" max="9478" width="5.5703125" style="11" customWidth="1"/>
    <col min="9479" max="9479" width="3.5703125" style="11" customWidth="1"/>
    <col min="9480" max="9480" width="5.140625" style="11" customWidth="1"/>
    <col min="9481" max="9481" width="5.42578125" style="11" customWidth="1"/>
    <col min="9482" max="9482" width="9.140625" style="11"/>
    <col min="9483" max="9483" width="17.140625" style="11" customWidth="1"/>
    <col min="9484" max="9484" width="9.140625" style="11"/>
    <col min="9485" max="9485" width="9" style="11" customWidth="1"/>
    <col min="9486" max="9728" width="9.140625" style="11"/>
    <col min="9729" max="9732" width="7.42578125" style="11" customWidth="1"/>
    <col min="9733" max="9733" width="9.140625" style="11"/>
    <col min="9734" max="9734" width="5.5703125" style="11" customWidth="1"/>
    <col min="9735" max="9735" width="3.5703125" style="11" customWidth="1"/>
    <col min="9736" max="9736" width="5.140625" style="11" customWidth="1"/>
    <col min="9737" max="9737" width="5.42578125" style="11" customWidth="1"/>
    <col min="9738" max="9738" width="9.140625" style="11"/>
    <col min="9739" max="9739" width="17.140625" style="11" customWidth="1"/>
    <col min="9740" max="9740" width="9.140625" style="11"/>
    <col min="9741" max="9741" width="9" style="11" customWidth="1"/>
    <col min="9742" max="9984" width="9.140625" style="11"/>
    <col min="9985" max="9988" width="7.42578125" style="11" customWidth="1"/>
    <col min="9989" max="9989" width="9.140625" style="11"/>
    <col min="9990" max="9990" width="5.5703125" style="11" customWidth="1"/>
    <col min="9991" max="9991" width="3.5703125" style="11" customWidth="1"/>
    <col min="9992" max="9992" width="5.140625" style="11" customWidth="1"/>
    <col min="9993" max="9993" width="5.42578125" style="11" customWidth="1"/>
    <col min="9994" max="9994" width="9.140625" style="11"/>
    <col min="9995" max="9995" width="17.140625" style="11" customWidth="1"/>
    <col min="9996" max="9996" width="9.140625" style="11"/>
    <col min="9997" max="9997" width="9" style="11" customWidth="1"/>
    <col min="9998" max="10240" width="9.140625" style="11"/>
    <col min="10241" max="10244" width="7.42578125" style="11" customWidth="1"/>
    <col min="10245" max="10245" width="9.140625" style="11"/>
    <col min="10246" max="10246" width="5.5703125" style="11" customWidth="1"/>
    <col min="10247" max="10247" width="3.5703125" style="11" customWidth="1"/>
    <col min="10248" max="10248" width="5.140625" style="11" customWidth="1"/>
    <col min="10249" max="10249" width="5.42578125" style="11" customWidth="1"/>
    <col min="10250" max="10250" width="9.140625" style="11"/>
    <col min="10251" max="10251" width="17.140625" style="11" customWidth="1"/>
    <col min="10252" max="10252" width="9.140625" style="11"/>
    <col min="10253" max="10253" width="9" style="11" customWidth="1"/>
    <col min="10254" max="10496" width="9.140625" style="11"/>
    <col min="10497" max="10500" width="7.42578125" style="11" customWidth="1"/>
    <col min="10501" max="10501" width="9.140625" style="11"/>
    <col min="10502" max="10502" width="5.5703125" style="11" customWidth="1"/>
    <col min="10503" max="10503" width="3.5703125" style="11" customWidth="1"/>
    <col min="10504" max="10504" width="5.140625" style="11" customWidth="1"/>
    <col min="10505" max="10505" width="5.42578125" style="11" customWidth="1"/>
    <col min="10506" max="10506" width="9.140625" style="11"/>
    <col min="10507" max="10507" width="17.140625" style="11" customWidth="1"/>
    <col min="10508" max="10508" width="9.140625" style="11"/>
    <col min="10509" max="10509" width="9" style="11" customWidth="1"/>
    <col min="10510" max="10752" width="9.140625" style="11"/>
    <col min="10753" max="10756" width="7.42578125" style="11" customWidth="1"/>
    <col min="10757" max="10757" width="9.140625" style="11"/>
    <col min="10758" max="10758" width="5.5703125" style="11" customWidth="1"/>
    <col min="10759" max="10759" width="3.5703125" style="11" customWidth="1"/>
    <col min="10760" max="10760" width="5.140625" style="11" customWidth="1"/>
    <col min="10761" max="10761" width="5.42578125" style="11" customWidth="1"/>
    <col min="10762" max="10762" width="9.140625" style="11"/>
    <col min="10763" max="10763" width="17.140625" style="11" customWidth="1"/>
    <col min="10764" max="10764" width="9.140625" style="11"/>
    <col min="10765" max="10765" width="9" style="11" customWidth="1"/>
    <col min="10766" max="11008" width="9.140625" style="11"/>
    <col min="11009" max="11012" width="7.42578125" style="11" customWidth="1"/>
    <col min="11013" max="11013" width="9.140625" style="11"/>
    <col min="11014" max="11014" width="5.5703125" style="11" customWidth="1"/>
    <col min="11015" max="11015" width="3.5703125" style="11" customWidth="1"/>
    <col min="11016" max="11016" width="5.140625" style="11" customWidth="1"/>
    <col min="11017" max="11017" width="5.42578125" style="11" customWidth="1"/>
    <col min="11018" max="11018" width="9.140625" style="11"/>
    <col min="11019" max="11019" width="17.140625" style="11" customWidth="1"/>
    <col min="11020" max="11020" width="9.140625" style="11"/>
    <col min="11021" max="11021" width="9" style="11" customWidth="1"/>
    <col min="11022" max="11264" width="9.140625" style="11"/>
    <col min="11265" max="11268" width="7.42578125" style="11" customWidth="1"/>
    <col min="11269" max="11269" width="9.140625" style="11"/>
    <col min="11270" max="11270" width="5.5703125" style="11" customWidth="1"/>
    <col min="11271" max="11271" width="3.5703125" style="11" customWidth="1"/>
    <col min="11272" max="11272" width="5.140625" style="11" customWidth="1"/>
    <col min="11273" max="11273" width="5.42578125" style="11" customWidth="1"/>
    <col min="11274" max="11274" width="9.140625" style="11"/>
    <col min="11275" max="11275" width="17.140625" style="11" customWidth="1"/>
    <col min="11276" max="11276" width="9.140625" style="11"/>
    <col min="11277" max="11277" width="9" style="11" customWidth="1"/>
    <col min="11278" max="11520" width="9.140625" style="11"/>
    <col min="11521" max="11524" width="7.42578125" style="11" customWidth="1"/>
    <col min="11525" max="11525" width="9.140625" style="11"/>
    <col min="11526" max="11526" width="5.5703125" style="11" customWidth="1"/>
    <col min="11527" max="11527" width="3.5703125" style="11" customWidth="1"/>
    <col min="11528" max="11528" width="5.140625" style="11" customWidth="1"/>
    <col min="11529" max="11529" width="5.42578125" style="11" customWidth="1"/>
    <col min="11530" max="11530" width="9.140625" style="11"/>
    <col min="11531" max="11531" width="17.140625" style="11" customWidth="1"/>
    <col min="11532" max="11532" width="9.140625" style="11"/>
    <col min="11533" max="11533" width="9" style="11" customWidth="1"/>
    <col min="11534" max="11776" width="9.140625" style="11"/>
    <col min="11777" max="11780" width="7.42578125" style="11" customWidth="1"/>
    <col min="11781" max="11781" width="9.140625" style="11"/>
    <col min="11782" max="11782" width="5.5703125" style="11" customWidth="1"/>
    <col min="11783" max="11783" width="3.5703125" style="11" customWidth="1"/>
    <col min="11784" max="11784" width="5.140625" style="11" customWidth="1"/>
    <col min="11785" max="11785" width="5.42578125" style="11" customWidth="1"/>
    <col min="11786" max="11786" width="9.140625" style="11"/>
    <col min="11787" max="11787" width="17.140625" style="11" customWidth="1"/>
    <col min="11788" max="11788" width="9.140625" style="11"/>
    <col min="11789" max="11789" width="9" style="11" customWidth="1"/>
    <col min="11790" max="12032" width="9.140625" style="11"/>
    <col min="12033" max="12036" width="7.42578125" style="11" customWidth="1"/>
    <col min="12037" max="12037" width="9.140625" style="11"/>
    <col min="12038" max="12038" width="5.5703125" style="11" customWidth="1"/>
    <col min="12039" max="12039" width="3.5703125" style="11" customWidth="1"/>
    <col min="12040" max="12040" width="5.140625" style="11" customWidth="1"/>
    <col min="12041" max="12041" width="5.42578125" style="11" customWidth="1"/>
    <col min="12042" max="12042" width="9.140625" style="11"/>
    <col min="12043" max="12043" width="17.140625" style="11" customWidth="1"/>
    <col min="12044" max="12044" width="9.140625" style="11"/>
    <col min="12045" max="12045" width="9" style="11" customWidth="1"/>
    <col min="12046" max="12288" width="9.140625" style="11"/>
    <col min="12289" max="12292" width="7.42578125" style="11" customWidth="1"/>
    <col min="12293" max="12293" width="9.140625" style="11"/>
    <col min="12294" max="12294" width="5.5703125" style="11" customWidth="1"/>
    <col min="12295" max="12295" width="3.5703125" style="11" customWidth="1"/>
    <col min="12296" max="12296" width="5.140625" style="11" customWidth="1"/>
    <col min="12297" max="12297" width="5.42578125" style="11" customWidth="1"/>
    <col min="12298" max="12298" width="9.140625" style="11"/>
    <col min="12299" max="12299" width="17.140625" style="11" customWidth="1"/>
    <col min="12300" max="12300" width="9.140625" style="11"/>
    <col min="12301" max="12301" width="9" style="11" customWidth="1"/>
    <col min="12302" max="12544" width="9.140625" style="11"/>
    <col min="12545" max="12548" width="7.42578125" style="11" customWidth="1"/>
    <col min="12549" max="12549" width="9.140625" style="11"/>
    <col min="12550" max="12550" width="5.5703125" style="11" customWidth="1"/>
    <col min="12551" max="12551" width="3.5703125" style="11" customWidth="1"/>
    <col min="12552" max="12552" width="5.140625" style="11" customWidth="1"/>
    <col min="12553" max="12553" width="5.42578125" style="11" customWidth="1"/>
    <col min="12554" max="12554" width="9.140625" style="11"/>
    <col min="12555" max="12555" width="17.140625" style="11" customWidth="1"/>
    <col min="12556" max="12556" width="9.140625" style="11"/>
    <col min="12557" max="12557" width="9" style="11" customWidth="1"/>
    <col min="12558" max="12800" width="9.140625" style="11"/>
    <col min="12801" max="12804" width="7.42578125" style="11" customWidth="1"/>
    <col min="12805" max="12805" width="9.140625" style="11"/>
    <col min="12806" max="12806" width="5.5703125" style="11" customWidth="1"/>
    <col min="12807" max="12807" width="3.5703125" style="11" customWidth="1"/>
    <col min="12808" max="12808" width="5.140625" style="11" customWidth="1"/>
    <col min="12809" max="12809" width="5.42578125" style="11" customWidth="1"/>
    <col min="12810" max="12810" width="9.140625" style="11"/>
    <col min="12811" max="12811" width="17.140625" style="11" customWidth="1"/>
    <col min="12812" max="12812" width="9.140625" style="11"/>
    <col min="12813" max="12813" width="9" style="11" customWidth="1"/>
    <col min="12814" max="13056" width="9.140625" style="11"/>
    <col min="13057" max="13060" width="7.42578125" style="11" customWidth="1"/>
    <col min="13061" max="13061" width="9.140625" style="11"/>
    <col min="13062" max="13062" width="5.5703125" style="11" customWidth="1"/>
    <col min="13063" max="13063" width="3.5703125" style="11" customWidth="1"/>
    <col min="13064" max="13064" width="5.140625" style="11" customWidth="1"/>
    <col min="13065" max="13065" width="5.42578125" style="11" customWidth="1"/>
    <col min="13066" max="13066" width="9.140625" style="11"/>
    <col min="13067" max="13067" width="17.140625" style="11" customWidth="1"/>
    <col min="13068" max="13068" width="9.140625" style="11"/>
    <col min="13069" max="13069" width="9" style="11" customWidth="1"/>
    <col min="13070" max="13312" width="9.140625" style="11"/>
    <col min="13313" max="13316" width="7.42578125" style="11" customWidth="1"/>
    <col min="13317" max="13317" width="9.140625" style="11"/>
    <col min="13318" max="13318" width="5.5703125" style="11" customWidth="1"/>
    <col min="13319" max="13319" width="3.5703125" style="11" customWidth="1"/>
    <col min="13320" max="13320" width="5.140625" style="11" customWidth="1"/>
    <col min="13321" max="13321" width="5.42578125" style="11" customWidth="1"/>
    <col min="13322" max="13322" width="9.140625" style="11"/>
    <col min="13323" max="13323" width="17.140625" style="11" customWidth="1"/>
    <col min="13324" max="13324" width="9.140625" style="11"/>
    <col min="13325" max="13325" width="9" style="11" customWidth="1"/>
    <col min="13326" max="13568" width="9.140625" style="11"/>
    <col min="13569" max="13572" width="7.42578125" style="11" customWidth="1"/>
    <col min="13573" max="13573" width="9.140625" style="11"/>
    <col min="13574" max="13574" width="5.5703125" style="11" customWidth="1"/>
    <col min="13575" max="13575" width="3.5703125" style="11" customWidth="1"/>
    <col min="13576" max="13576" width="5.140625" style="11" customWidth="1"/>
    <col min="13577" max="13577" width="5.42578125" style="11" customWidth="1"/>
    <col min="13578" max="13578" width="9.140625" style="11"/>
    <col min="13579" max="13579" width="17.140625" style="11" customWidth="1"/>
    <col min="13580" max="13580" width="9.140625" style="11"/>
    <col min="13581" max="13581" width="9" style="11" customWidth="1"/>
    <col min="13582" max="13824" width="9.140625" style="11"/>
    <col min="13825" max="13828" width="7.42578125" style="11" customWidth="1"/>
    <col min="13829" max="13829" width="9.140625" style="11"/>
    <col min="13830" max="13830" width="5.5703125" style="11" customWidth="1"/>
    <col min="13831" max="13831" width="3.5703125" style="11" customWidth="1"/>
    <col min="13832" max="13832" width="5.140625" style="11" customWidth="1"/>
    <col min="13833" max="13833" width="5.42578125" style="11" customWidth="1"/>
    <col min="13834" max="13834" width="9.140625" style="11"/>
    <col min="13835" max="13835" width="17.140625" style="11" customWidth="1"/>
    <col min="13836" max="13836" width="9.140625" style="11"/>
    <col min="13837" max="13837" width="9" style="11" customWidth="1"/>
    <col min="13838" max="14080" width="9.140625" style="11"/>
    <col min="14081" max="14084" width="7.42578125" style="11" customWidth="1"/>
    <col min="14085" max="14085" width="9.140625" style="11"/>
    <col min="14086" max="14086" width="5.5703125" style="11" customWidth="1"/>
    <col min="14087" max="14087" width="3.5703125" style="11" customWidth="1"/>
    <col min="14088" max="14088" width="5.140625" style="11" customWidth="1"/>
    <col min="14089" max="14089" width="5.42578125" style="11" customWidth="1"/>
    <col min="14090" max="14090" width="9.140625" style="11"/>
    <col min="14091" max="14091" width="17.140625" style="11" customWidth="1"/>
    <col min="14092" max="14092" width="9.140625" style="11"/>
    <col min="14093" max="14093" width="9" style="11" customWidth="1"/>
    <col min="14094" max="14336" width="9.140625" style="11"/>
    <col min="14337" max="14340" width="7.42578125" style="11" customWidth="1"/>
    <col min="14341" max="14341" width="9.140625" style="11"/>
    <col min="14342" max="14342" width="5.5703125" style="11" customWidth="1"/>
    <col min="14343" max="14343" width="3.5703125" style="11" customWidth="1"/>
    <col min="14344" max="14344" width="5.140625" style="11" customWidth="1"/>
    <col min="14345" max="14345" width="5.42578125" style="11" customWidth="1"/>
    <col min="14346" max="14346" width="9.140625" style="11"/>
    <col min="14347" max="14347" width="17.140625" style="11" customWidth="1"/>
    <col min="14348" max="14348" width="9.140625" style="11"/>
    <col min="14349" max="14349" width="9" style="11" customWidth="1"/>
    <col min="14350" max="14592" width="9.140625" style="11"/>
    <col min="14593" max="14596" width="7.42578125" style="11" customWidth="1"/>
    <col min="14597" max="14597" width="9.140625" style="11"/>
    <col min="14598" max="14598" width="5.5703125" style="11" customWidth="1"/>
    <col min="14599" max="14599" width="3.5703125" style="11" customWidth="1"/>
    <col min="14600" max="14600" width="5.140625" style="11" customWidth="1"/>
    <col min="14601" max="14601" width="5.42578125" style="11" customWidth="1"/>
    <col min="14602" max="14602" width="9.140625" style="11"/>
    <col min="14603" max="14603" width="17.140625" style="11" customWidth="1"/>
    <col min="14604" max="14604" width="9.140625" style="11"/>
    <col min="14605" max="14605" width="9" style="11" customWidth="1"/>
    <col min="14606" max="14848" width="9.140625" style="11"/>
    <col min="14849" max="14852" width="7.42578125" style="11" customWidth="1"/>
    <col min="14853" max="14853" width="9.140625" style="11"/>
    <col min="14854" max="14854" width="5.5703125" style="11" customWidth="1"/>
    <col min="14855" max="14855" width="3.5703125" style="11" customWidth="1"/>
    <col min="14856" max="14856" width="5.140625" style="11" customWidth="1"/>
    <col min="14857" max="14857" width="5.42578125" style="11" customWidth="1"/>
    <col min="14858" max="14858" width="9.140625" style="11"/>
    <col min="14859" max="14859" width="17.140625" style="11" customWidth="1"/>
    <col min="14860" max="14860" width="9.140625" style="11"/>
    <col min="14861" max="14861" width="9" style="11" customWidth="1"/>
    <col min="14862" max="15104" width="9.140625" style="11"/>
    <col min="15105" max="15108" width="7.42578125" style="11" customWidth="1"/>
    <col min="15109" max="15109" width="9.140625" style="11"/>
    <col min="15110" max="15110" width="5.5703125" style="11" customWidth="1"/>
    <col min="15111" max="15111" width="3.5703125" style="11" customWidth="1"/>
    <col min="15112" max="15112" width="5.140625" style="11" customWidth="1"/>
    <col min="15113" max="15113" width="5.42578125" style="11" customWidth="1"/>
    <col min="15114" max="15114" width="9.140625" style="11"/>
    <col min="15115" max="15115" width="17.140625" style="11" customWidth="1"/>
    <col min="15116" max="15116" width="9.140625" style="11"/>
    <col min="15117" max="15117" width="9" style="11" customWidth="1"/>
    <col min="15118" max="15360" width="9.140625" style="11"/>
    <col min="15361" max="15364" width="7.42578125" style="11" customWidth="1"/>
    <col min="15365" max="15365" width="9.140625" style="11"/>
    <col min="15366" max="15366" width="5.5703125" style="11" customWidth="1"/>
    <col min="15367" max="15367" width="3.5703125" style="11" customWidth="1"/>
    <col min="15368" max="15368" width="5.140625" style="11" customWidth="1"/>
    <col min="15369" max="15369" width="5.42578125" style="11" customWidth="1"/>
    <col min="15370" max="15370" width="9.140625" style="11"/>
    <col min="15371" max="15371" width="17.140625" style="11" customWidth="1"/>
    <col min="15372" max="15372" width="9.140625" style="11"/>
    <col min="15373" max="15373" width="9" style="11" customWidth="1"/>
    <col min="15374" max="15616" width="9.140625" style="11"/>
    <col min="15617" max="15620" width="7.42578125" style="11" customWidth="1"/>
    <col min="15621" max="15621" width="9.140625" style="11"/>
    <col min="15622" max="15622" width="5.5703125" style="11" customWidth="1"/>
    <col min="15623" max="15623" width="3.5703125" style="11" customWidth="1"/>
    <col min="15624" max="15624" width="5.140625" style="11" customWidth="1"/>
    <col min="15625" max="15625" width="5.42578125" style="11" customWidth="1"/>
    <col min="15626" max="15626" width="9.140625" style="11"/>
    <col min="15627" max="15627" width="17.140625" style="11" customWidth="1"/>
    <col min="15628" max="15628" width="9.140625" style="11"/>
    <col min="15629" max="15629" width="9" style="11" customWidth="1"/>
    <col min="15630" max="15872" width="9.140625" style="11"/>
    <col min="15873" max="15876" width="7.42578125" style="11" customWidth="1"/>
    <col min="15877" max="15877" width="9.140625" style="11"/>
    <col min="15878" max="15878" width="5.5703125" style="11" customWidth="1"/>
    <col min="15879" max="15879" width="3.5703125" style="11" customWidth="1"/>
    <col min="15880" max="15880" width="5.140625" style="11" customWidth="1"/>
    <col min="15881" max="15881" width="5.42578125" style="11" customWidth="1"/>
    <col min="15882" max="15882" width="9.140625" style="11"/>
    <col min="15883" max="15883" width="17.140625" style="11" customWidth="1"/>
    <col min="15884" max="15884" width="9.140625" style="11"/>
    <col min="15885" max="15885" width="9" style="11" customWidth="1"/>
    <col min="15886" max="16128" width="9.140625" style="11"/>
    <col min="16129" max="16132" width="7.42578125" style="11" customWidth="1"/>
    <col min="16133" max="16133" width="9.140625" style="11"/>
    <col min="16134" max="16134" width="5.5703125" style="11" customWidth="1"/>
    <col min="16135" max="16135" width="3.5703125" style="11" customWidth="1"/>
    <col min="16136" max="16136" width="5.140625" style="11" customWidth="1"/>
    <col min="16137" max="16137" width="5.42578125" style="11" customWidth="1"/>
    <col min="16138" max="16138" width="9.140625" style="11"/>
    <col min="16139" max="16139" width="17.140625" style="11" customWidth="1"/>
    <col min="16140" max="16140" width="9.140625" style="11"/>
    <col min="16141" max="16141" width="9" style="11" customWidth="1"/>
    <col min="16142" max="16384" width="9.140625" style="11"/>
  </cols>
  <sheetData>
    <row r="1" spans="1:13" ht="18.75" thickBot="1" x14ac:dyDescent="0.3">
      <c r="A1" s="270" t="s">
        <v>237</v>
      </c>
      <c r="B1" s="271"/>
      <c r="C1" s="272" t="s">
        <v>56</v>
      </c>
      <c r="D1" s="272"/>
      <c r="E1" s="272"/>
      <c r="F1" s="272"/>
      <c r="G1" s="272"/>
      <c r="H1" s="272"/>
      <c r="I1" s="272"/>
      <c r="J1" s="272"/>
      <c r="K1" s="272"/>
      <c r="L1" s="273" t="s">
        <v>62</v>
      </c>
      <c r="M1" s="274"/>
    </row>
    <row r="2" spans="1:13" x14ac:dyDescent="0.2">
      <c r="A2" s="249" t="s">
        <v>0</v>
      </c>
      <c r="B2" s="250"/>
      <c r="C2" s="250"/>
      <c r="D2" s="250"/>
      <c r="E2" s="250"/>
      <c r="F2" s="250"/>
      <c r="G2" s="250"/>
      <c r="H2" s="251"/>
      <c r="I2" s="275" t="s">
        <v>232</v>
      </c>
      <c r="J2" s="276"/>
      <c r="K2" s="276"/>
      <c r="L2" s="276"/>
      <c r="M2" s="277"/>
    </row>
    <row r="3" spans="1:13" x14ac:dyDescent="0.2">
      <c r="A3" s="261" t="s">
        <v>66</v>
      </c>
      <c r="B3" s="262"/>
      <c r="C3" s="262"/>
      <c r="D3" s="262"/>
      <c r="E3" s="262"/>
      <c r="F3" s="262"/>
      <c r="G3" s="262"/>
      <c r="H3" s="263"/>
      <c r="I3" s="278"/>
      <c r="J3" s="279"/>
      <c r="K3" s="279"/>
      <c r="L3" s="279"/>
      <c r="M3" s="280"/>
    </row>
    <row r="4" spans="1:13" x14ac:dyDescent="0.2">
      <c r="A4" s="261" t="s">
        <v>64</v>
      </c>
      <c r="B4" s="262"/>
      <c r="C4" s="262"/>
      <c r="D4" s="262"/>
      <c r="E4" s="262"/>
      <c r="F4" s="262"/>
      <c r="G4" s="262"/>
      <c r="H4" s="263"/>
      <c r="I4" s="252"/>
      <c r="J4" s="253"/>
      <c r="K4" s="253"/>
      <c r="L4" s="253"/>
      <c r="M4" s="254"/>
    </row>
    <row r="5" spans="1:13" x14ac:dyDescent="0.2">
      <c r="A5" s="261" t="s">
        <v>65</v>
      </c>
      <c r="B5" s="262"/>
      <c r="C5" s="262"/>
      <c r="D5" s="262"/>
      <c r="E5" s="262"/>
      <c r="F5" s="262"/>
      <c r="G5" s="262"/>
      <c r="H5" s="263"/>
      <c r="I5" s="252"/>
      <c r="J5" s="253"/>
      <c r="K5" s="253"/>
      <c r="L5" s="253"/>
      <c r="M5" s="254"/>
    </row>
    <row r="6" spans="1:13" ht="13.5" thickBot="1" x14ac:dyDescent="0.25">
      <c r="A6" s="267" t="s">
        <v>4</v>
      </c>
      <c r="B6" s="268"/>
      <c r="C6" s="268"/>
      <c r="D6" s="268"/>
      <c r="E6" s="268"/>
      <c r="F6" s="269" t="s">
        <v>5</v>
      </c>
      <c r="G6" s="269"/>
      <c r="H6" s="12"/>
      <c r="I6" s="255"/>
      <c r="J6" s="256"/>
      <c r="K6" s="256"/>
      <c r="L6" s="256"/>
      <c r="M6" s="257"/>
    </row>
    <row r="7" spans="1:13" x14ac:dyDescent="0.2">
      <c r="A7" s="249" t="s">
        <v>16</v>
      </c>
      <c r="B7" s="250"/>
      <c r="C7" s="250"/>
      <c r="D7" s="250"/>
      <c r="E7" s="250"/>
      <c r="F7" s="250"/>
      <c r="G7" s="250"/>
      <c r="H7" s="251"/>
      <c r="I7" s="53" t="s">
        <v>233</v>
      </c>
      <c r="J7" s="54"/>
      <c r="K7" s="56" t="str">
        <f>ADDRESS!I1</f>
        <v>CH Robinson</v>
      </c>
      <c r="L7" s="54"/>
      <c r="M7" s="55"/>
    </row>
    <row r="8" spans="1:13" x14ac:dyDescent="0.2">
      <c r="A8" s="264" t="s">
        <v>67</v>
      </c>
      <c r="B8" s="265"/>
      <c r="C8" s="265"/>
      <c r="D8" s="265"/>
      <c r="E8" s="138" t="s">
        <v>18</v>
      </c>
      <c r="F8" s="138"/>
      <c r="G8" s="138"/>
      <c r="H8" s="139"/>
      <c r="I8" s="264" t="s">
        <v>19</v>
      </c>
      <c r="J8" s="265"/>
      <c r="K8" s="265"/>
      <c r="L8" s="265"/>
      <c r="M8" s="266"/>
    </row>
    <row r="9" spans="1:13" ht="13.5" thickBot="1" x14ac:dyDescent="0.25">
      <c r="A9" s="264" t="s">
        <v>59</v>
      </c>
      <c r="B9" s="265"/>
      <c r="C9" s="265"/>
      <c r="D9" s="265"/>
      <c r="E9" s="265"/>
      <c r="F9" s="265"/>
      <c r="G9" s="265"/>
      <c r="H9" s="266"/>
      <c r="I9" s="57" t="s">
        <v>74</v>
      </c>
      <c r="J9" s="58"/>
      <c r="K9" s="58">
        <f>ADDRESS!I3</f>
        <v>10285609</v>
      </c>
      <c r="L9" s="58"/>
      <c r="M9" s="13"/>
    </row>
    <row r="10" spans="1:13" x14ac:dyDescent="0.2">
      <c r="A10" s="264" t="s">
        <v>69</v>
      </c>
      <c r="B10" s="265"/>
      <c r="C10" s="265"/>
      <c r="D10" s="265"/>
      <c r="E10" s="265"/>
      <c r="F10" s="265"/>
      <c r="G10" s="265"/>
      <c r="H10" s="266"/>
      <c r="I10" s="59" t="s">
        <v>234</v>
      </c>
      <c r="J10" s="60" t="str">
        <f>ADDRESS!I2</f>
        <v>RBTW</v>
      </c>
      <c r="K10" s="60"/>
      <c r="L10" s="60"/>
      <c r="M10" s="61"/>
    </row>
    <row r="11" spans="1:13" ht="13.5" thickBot="1" x14ac:dyDescent="0.25">
      <c r="A11" s="246" t="s">
        <v>17</v>
      </c>
      <c r="B11" s="247"/>
      <c r="C11" s="247"/>
      <c r="D11" s="247"/>
      <c r="E11" s="247"/>
      <c r="F11" s="248" t="s">
        <v>5</v>
      </c>
      <c r="G11" s="248"/>
      <c r="H11" s="13"/>
      <c r="I11" s="62" t="s">
        <v>235</v>
      </c>
      <c r="J11" s="63"/>
      <c r="K11" s="63">
        <f>ADDRESS!I4</f>
        <v>523953410</v>
      </c>
      <c r="L11" s="63"/>
      <c r="M11" s="64"/>
    </row>
    <row r="12" spans="1:13" ht="13.5" thickBot="1" x14ac:dyDescent="0.25">
      <c r="A12" s="249" t="s">
        <v>20</v>
      </c>
      <c r="B12" s="250"/>
      <c r="C12" s="250"/>
      <c r="D12" s="250"/>
      <c r="E12" s="250"/>
      <c r="F12" s="250"/>
      <c r="G12" s="250"/>
      <c r="H12" s="251"/>
      <c r="I12" s="252"/>
      <c r="J12" s="253"/>
      <c r="K12" s="253"/>
      <c r="L12" s="253"/>
      <c r="M12" s="254"/>
    </row>
    <row r="13" spans="1:13" x14ac:dyDescent="0.2">
      <c r="A13" s="258" t="s">
        <v>1</v>
      </c>
      <c r="B13" s="259"/>
      <c r="C13" s="259"/>
      <c r="D13" s="259"/>
      <c r="E13" s="259"/>
      <c r="F13" s="259"/>
      <c r="G13" s="259"/>
      <c r="H13" s="260"/>
      <c r="I13" s="252"/>
      <c r="J13" s="253"/>
      <c r="K13" s="253"/>
      <c r="L13" s="253"/>
      <c r="M13" s="254"/>
    </row>
    <row r="14" spans="1:13" ht="13.5" thickBot="1" x14ac:dyDescent="0.25">
      <c r="A14" s="261" t="s">
        <v>2</v>
      </c>
      <c r="B14" s="262"/>
      <c r="C14" s="262"/>
      <c r="D14" s="262"/>
      <c r="E14" s="262"/>
      <c r="F14" s="262"/>
      <c r="G14" s="262"/>
      <c r="H14" s="263"/>
      <c r="I14" s="255"/>
      <c r="J14" s="256"/>
      <c r="K14" s="256"/>
      <c r="L14" s="256"/>
      <c r="M14" s="257"/>
    </row>
    <row r="15" spans="1:13" ht="23.25" customHeight="1" x14ac:dyDescent="0.2">
      <c r="A15" s="230" t="s">
        <v>3</v>
      </c>
      <c r="B15" s="231"/>
      <c r="C15" s="231"/>
      <c r="D15" s="231"/>
      <c r="E15" s="231"/>
      <c r="F15" s="231"/>
      <c r="G15" s="231"/>
      <c r="H15" s="231"/>
      <c r="I15" s="232" t="s">
        <v>24</v>
      </c>
      <c r="J15" s="233"/>
      <c r="K15" s="233"/>
      <c r="L15" s="233"/>
      <c r="M15" s="234"/>
    </row>
    <row r="16" spans="1:13" x14ac:dyDescent="0.2">
      <c r="A16" s="65" t="s">
        <v>76</v>
      </c>
      <c r="B16" s="66"/>
      <c r="C16" s="66"/>
      <c r="D16" s="66"/>
      <c r="E16" s="66"/>
      <c r="F16" s="130">
        <f>ADDRESS!I5</f>
        <v>59642884</v>
      </c>
      <c r="G16" s="130"/>
      <c r="H16" s="131"/>
      <c r="I16" s="235" t="s">
        <v>61</v>
      </c>
      <c r="J16" s="236"/>
      <c r="K16" s="236"/>
      <c r="L16" s="236"/>
      <c r="M16" s="237"/>
    </row>
    <row r="17" spans="1:13" ht="14.25" customHeight="1" x14ac:dyDescent="0.2">
      <c r="A17" s="67"/>
      <c r="B17" s="68"/>
      <c r="C17" s="68"/>
      <c r="D17" s="68"/>
      <c r="E17" s="68"/>
      <c r="F17" s="68"/>
      <c r="G17" s="68"/>
      <c r="H17" s="69"/>
      <c r="I17" s="238"/>
      <c r="J17" s="239"/>
      <c r="K17" s="240" t="s">
        <v>26</v>
      </c>
      <c r="L17" s="240"/>
      <c r="M17" s="241"/>
    </row>
    <row r="18" spans="1:13" ht="10.5" customHeight="1" thickBot="1" x14ac:dyDescent="0.25">
      <c r="A18" s="67"/>
      <c r="B18" s="68"/>
      <c r="C18" s="68"/>
      <c r="D18" s="68"/>
      <c r="E18" s="68"/>
      <c r="F18" s="68"/>
      <c r="G18" s="68"/>
      <c r="H18" s="69"/>
      <c r="I18" s="244" t="s">
        <v>25</v>
      </c>
      <c r="J18" s="245"/>
      <c r="K18" s="242"/>
      <c r="L18" s="242"/>
      <c r="M18" s="243"/>
    </row>
    <row r="19" spans="1:13" x14ac:dyDescent="0.2">
      <c r="A19" s="205" t="s">
        <v>27</v>
      </c>
      <c r="B19" s="206"/>
      <c r="C19" s="206"/>
      <c r="D19" s="206"/>
      <c r="E19" s="206"/>
      <c r="F19" s="206"/>
      <c r="G19" s="206"/>
      <c r="H19" s="206"/>
      <c r="I19" s="206"/>
      <c r="J19" s="206"/>
      <c r="K19" s="206"/>
      <c r="L19" s="206"/>
      <c r="M19" s="207"/>
    </row>
    <row r="20" spans="1:13" ht="12" customHeight="1" x14ac:dyDescent="0.2">
      <c r="A20" s="218" t="s">
        <v>23</v>
      </c>
      <c r="B20" s="219"/>
      <c r="C20" s="219"/>
      <c r="D20" s="219"/>
      <c r="E20" s="219" t="s">
        <v>28</v>
      </c>
      <c r="F20" s="219" t="s">
        <v>10</v>
      </c>
      <c r="G20" s="219"/>
      <c r="H20" s="220" t="s">
        <v>29</v>
      </c>
      <c r="I20" s="221"/>
      <c r="J20" s="222" t="s">
        <v>31</v>
      </c>
      <c r="K20" s="223"/>
      <c r="L20" s="223"/>
      <c r="M20" s="224"/>
    </row>
    <row r="21" spans="1:13" ht="9.75" customHeight="1" x14ac:dyDescent="0.2">
      <c r="A21" s="218"/>
      <c r="B21" s="219"/>
      <c r="C21" s="219"/>
      <c r="D21" s="219"/>
      <c r="E21" s="219"/>
      <c r="F21" s="219"/>
      <c r="G21" s="219"/>
      <c r="H21" s="228" t="s">
        <v>30</v>
      </c>
      <c r="I21" s="229"/>
      <c r="J21" s="225"/>
      <c r="K21" s="226"/>
      <c r="L21" s="226"/>
      <c r="M21" s="227"/>
    </row>
    <row r="22" spans="1:13" x14ac:dyDescent="0.2">
      <c r="A22" s="214"/>
      <c r="B22" s="214"/>
      <c r="C22" s="214"/>
      <c r="D22" s="215"/>
      <c r="E22" s="10">
        <v>40</v>
      </c>
      <c r="F22" s="333">
        <v>40</v>
      </c>
      <c r="G22" s="333"/>
      <c r="H22" s="14" t="s">
        <v>54</v>
      </c>
      <c r="I22" s="14" t="s">
        <v>55</v>
      </c>
      <c r="J22" s="202"/>
      <c r="K22" s="202"/>
      <c r="L22" s="202"/>
      <c r="M22" s="217"/>
    </row>
    <row r="23" spans="1:13" x14ac:dyDescent="0.2">
      <c r="A23" s="214"/>
      <c r="B23" s="214"/>
      <c r="C23" s="214"/>
      <c r="D23" s="215"/>
      <c r="E23" s="10">
        <v>38</v>
      </c>
      <c r="F23" s="333">
        <v>38</v>
      </c>
      <c r="G23" s="333"/>
      <c r="H23" s="14" t="s">
        <v>54</v>
      </c>
      <c r="I23" s="14" t="s">
        <v>55</v>
      </c>
      <c r="J23" s="202"/>
      <c r="K23" s="202"/>
      <c r="L23" s="202"/>
      <c r="M23" s="217"/>
    </row>
    <row r="24" spans="1:13" x14ac:dyDescent="0.2">
      <c r="A24" s="214"/>
      <c r="B24" s="214"/>
      <c r="C24" s="214"/>
      <c r="D24" s="215"/>
      <c r="E24" s="10">
        <v>59</v>
      </c>
      <c r="F24" s="333">
        <v>59</v>
      </c>
      <c r="G24" s="333"/>
      <c r="H24" s="14" t="s">
        <v>54</v>
      </c>
      <c r="I24" s="14" t="s">
        <v>55</v>
      </c>
      <c r="J24" s="202"/>
      <c r="K24" s="202"/>
      <c r="L24" s="202"/>
      <c r="M24" s="217"/>
    </row>
    <row r="25" spans="1:13" x14ac:dyDescent="0.2">
      <c r="A25" s="214"/>
      <c r="B25" s="214"/>
      <c r="C25" s="214"/>
      <c r="D25" s="215"/>
      <c r="E25" s="10">
        <v>81</v>
      </c>
      <c r="F25" s="333">
        <v>81</v>
      </c>
      <c r="G25" s="333"/>
      <c r="H25" s="14" t="s">
        <v>54</v>
      </c>
      <c r="I25" s="14" t="s">
        <v>55</v>
      </c>
      <c r="J25" s="202"/>
      <c r="K25" s="202"/>
      <c r="L25" s="202"/>
      <c r="M25" s="217"/>
    </row>
    <row r="26" spans="1:13" x14ac:dyDescent="0.2">
      <c r="A26" s="214"/>
      <c r="B26" s="214"/>
      <c r="C26" s="214"/>
      <c r="D26" s="215"/>
      <c r="E26" s="10">
        <v>70</v>
      </c>
      <c r="F26" s="333">
        <v>70</v>
      </c>
      <c r="G26" s="333"/>
      <c r="H26" s="14" t="s">
        <v>54</v>
      </c>
      <c r="I26" s="14" t="s">
        <v>55</v>
      </c>
      <c r="J26" s="202"/>
      <c r="K26" s="202"/>
      <c r="L26" s="202"/>
      <c r="M26" s="217"/>
    </row>
    <row r="27" spans="1:13" x14ac:dyDescent="0.2">
      <c r="A27" s="214"/>
      <c r="B27" s="214"/>
      <c r="C27" s="214"/>
      <c r="D27" s="215"/>
      <c r="E27" s="10">
        <v>62</v>
      </c>
      <c r="F27" s="333">
        <v>62</v>
      </c>
      <c r="G27" s="333"/>
      <c r="H27" s="14" t="s">
        <v>54</v>
      </c>
      <c r="I27" s="14" t="s">
        <v>55</v>
      </c>
      <c r="J27" s="202"/>
      <c r="K27" s="202"/>
      <c r="L27" s="202"/>
      <c r="M27" s="217"/>
    </row>
    <row r="28" spans="1:13" x14ac:dyDescent="0.2">
      <c r="A28" s="214"/>
      <c r="B28" s="214"/>
      <c r="C28" s="214"/>
      <c r="D28" s="215"/>
      <c r="E28" s="10">
        <v>66</v>
      </c>
      <c r="F28" s="333">
        <v>66</v>
      </c>
      <c r="G28" s="333"/>
      <c r="H28" s="14" t="s">
        <v>54</v>
      </c>
      <c r="I28" s="14" t="s">
        <v>55</v>
      </c>
      <c r="J28" s="202"/>
      <c r="K28" s="202"/>
      <c r="L28" s="202"/>
      <c r="M28" s="217"/>
    </row>
    <row r="29" spans="1:13" x14ac:dyDescent="0.2">
      <c r="A29" s="214"/>
      <c r="B29" s="214"/>
      <c r="C29" s="214"/>
      <c r="D29" s="215"/>
      <c r="E29" s="10">
        <v>65</v>
      </c>
      <c r="F29" s="333">
        <v>65</v>
      </c>
      <c r="G29" s="333"/>
      <c r="H29" s="14" t="s">
        <v>54</v>
      </c>
      <c r="I29" s="14" t="s">
        <v>55</v>
      </c>
      <c r="J29" s="202"/>
      <c r="K29" s="202"/>
      <c r="L29" s="202"/>
      <c r="M29" s="217"/>
    </row>
    <row r="30" spans="1:13" x14ac:dyDescent="0.2">
      <c r="A30" s="199" t="s">
        <v>22</v>
      </c>
      <c r="B30" s="200"/>
      <c r="C30" s="200"/>
      <c r="D30" s="200"/>
      <c r="E30" s="16">
        <f>SUM(E22:E29,'Supplimental Master BOL'!E5:E25)</f>
        <v>1688</v>
      </c>
      <c r="F30" s="201">
        <f>SUM(F22:G29,'Supplimental Master BOL'!F5:G25)</f>
        <v>1688</v>
      </c>
      <c r="G30" s="202"/>
      <c r="H30" s="17"/>
      <c r="I30" s="17"/>
      <c r="J30" s="203"/>
      <c r="K30" s="203"/>
      <c r="L30" s="203"/>
      <c r="M30" s="204"/>
    </row>
    <row r="31" spans="1:13" x14ac:dyDescent="0.2">
      <c r="A31" s="205" t="s">
        <v>21</v>
      </c>
      <c r="B31" s="206"/>
      <c r="C31" s="206"/>
      <c r="D31" s="206"/>
      <c r="E31" s="206"/>
      <c r="F31" s="206"/>
      <c r="G31" s="206"/>
      <c r="H31" s="206"/>
      <c r="I31" s="206"/>
      <c r="J31" s="206"/>
      <c r="K31" s="206"/>
      <c r="L31" s="206"/>
      <c r="M31" s="207"/>
    </row>
    <row r="32" spans="1:13" x14ac:dyDescent="0.2">
      <c r="A32" s="208" t="s">
        <v>6</v>
      </c>
      <c r="B32" s="209"/>
      <c r="C32" s="209" t="s">
        <v>9</v>
      </c>
      <c r="D32" s="209"/>
      <c r="E32" s="210" t="s">
        <v>10</v>
      </c>
      <c r="F32" s="211" t="s">
        <v>11</v>
      </c>
      <c r="G32" s="212" t="s">
        <v>12</v>
      </c>
      <c r="H32" s="212"/>
      <c r="I32" s="212"/>
      <c r="J32" s="212"/>
      <c r="K32" s="212"/>
      <c r="L32" s="209" t="s">
        <v>13</v>
      </c>
      <c r="M32" s="213"/>
    </row>
    <row r="33" spans="1:22" ht="24.75" customHeight="1" x14ac:dyDescent="0.2">
      <c r="A33" s="18" t="s">
        <v>7</v>
      </c>
      <c r="B33" s="19" t="s">
        <v>8</v>
      </c>
      <c r="C33" s="19" t="s">
        <v>7</v>
      </c>
      <c r="D33" s="19" t="s">
        <v>8</v>
      </c>
      <c r="E33" s="210"/>
      <c r="F33" s="211"/>
      <c r="G33" s="198" t="s">
        <v>53</v>
      </c>
      <c r="H33" s="198"/>
      <c r="I33" s="198"/>
      <c r="J33" s="198"/>
      <c r="K33" s="198"/>
      <c r="L33" s="20" t="s">
        <v>14</v>
      </c>
      <c r="M33" s="21" t="s">
        <v>15</v>
      </c>
    </row>
    <row r="34" spans="1:22" x14ac:dyDescent="0.2">
      <c r="A34" s="22">
        <v>6</v>
      </c>
      <c r="B34" s="14" t="s">
        <v>68</v>
      </c>
      <c r="C34" s="23">
        <v>1688</v>
      </c>
      <c r="D34" s="14" t="s">
        <v>60</v>
      </c>
      <c r="E34" s="23">
        <v>6698</v>
      </c>
      <c r="F34" s="14"/>
      <c r="G34" s="171" t="s">
        <v>70</v>
      </c>
      <c r="H34" s="172"/>
      <c r="I34" s="172"/>
      <c r="J34" s="172"/>
      <c r="K34" s="173"/>
      <c r="L34" s="24"/>
      <c r="M34" s="25"/>
    </row>
    <row r="35" spans="1:22" x14ac:dyDescent="0.2">
      <c r="A35" s="22"/>
      <c r="B35" s="14"/>
      <c r="C35" s="14"/>
      <c r="D35" s="14"/>
      <c r="E35" s="14"/>
      <c r="F35" s="26"/>
      <c r="G35" s="171"/>
      <c r="H35" s="172"/>
      <c r="I35" s="172"/>
      <c r="J35" s="172"/>
      <c r="K35" s="173"/>
      <c r="L35" s="24"/>
      <c r="M35" s="25"/>
    </row>
    <row r="36" spans="1:22" x14ac:dyDescent="0.2">
      <c r="A36" s="22"/>
      <c r="B36" s="14"/>
      <c r="C36" s="14"/>
      <c r="D36" s="14"/>
      <c r="E36" s="14"/>
      <c r="F36" s="26"/>
      <c r="G36" s="171"/>
      <c r="H36" s="172"/>
      <c r="I36" s="172"/>
      <c r="J36" s="172"/>
      <c r="K36" s="173"/>
      <c r="L36" s="24"/>
      <c r="M36" s="25"/>
    </row>
    <row r="37" spans="1:22" x14ac:dyDescent="0.2">
      <c r="A37" s="22"/>
      <c r="B37" s="14"/>
      <c r="C37" s="14"/>
      <c r="D37" s="14"/>
      <c r="E37" s="14"/>
      <c r="F37" s="26"/>
      <c r="G37" s="171"/>
      <c r="H37" s="172"/>
      <c r="I37" s="172"/>
      <c r="J37" s="172"/>
      <c r="K37" s="173"/>
      <c r="L37" s="24"/>
      <c r="M37" s="25"/>
      <c r="Q37" s="196"/>
      <c r="R37" s="196"/>
      <c r="S37" s="27"/>
      <c r="T37" s="195"/>
      <c r="U37" s="195"/>
      <c r="V37" s="195"/>
    </row>
    <row r="38" spans="1:22" x14ac:dyDescent="0.2">
      <c r="A38" s="22"/>
      <c r="B38" s="14"/>
      <c r="C38" s="14"/>
      <c r="D38" s="14"/>
      <c r="E38" s="14"/>
      <c r="F38" s="26"/>
      <c r="G38" s="171"/>
      <c r="H38" s="172"/>
      <c r="I38" s="172"/>
      <c r="J38" s="172"/>
      <c r="K38" s="173"/>
      <c r="L38" s="24"/>
      <c r="M38" s="29"/>
      <c r="Q38" s="196"/>
      <c r="R38" s="196"/>
      <c r="S38" s="27"/>
      <c r="T38" s="195"/>
      <c r="U38" s="195"/>
      <c r="V38" s="195"/>
    </row>
    <row r="39" spans="1:22" x14ac:dyDescent="0.2">
      <c r="A39" s="22"/>
      <c r="B39" s="14"/>
      <c r="C39" s="14"/>
      <c r="D39" s="14"/>
      <c r="E39" s="14"/>
      <c r="F39" s="26"/>
      <c r="G39" s="171"/>
      <c r="H39" s="172"/>
      <c r="I39" s="172"/>
      <c r="J39" s="172"/>
      <c r="K39" s="173"/>
      <c r="L39" s="24"/>
      <c r="M39" s="29"/>
      <c r="Q39" s="30"/>
      <c r="R39" s="30"/>
      <c r="S39" s="197"/>
      <c r="T39" s="195"/>
      <c r="U39" s="195"/>
      <c r="V39" s="195"/>
    </row>
    <row r="40" spans="1:22" x14ac:dyDescent="0.2">
      <c r="A40" s="22"/>
      <c r="B40" s="14"/>
      <c r="C40" s="14"/>
      <c r="D40" s="14"/>
      <c r="E40" s="14"/>
      <c r="F40" s="26"/>
      <c r="G40" s="171"/>
      <c r="H40" s="172"/>
      <c r="I40" s="172"/>
      <c r="J40" s="172"/>
      <c r="K40" s="173"/>
      <c r="L40" s="24"/>
      <c r="M40" s="25"/>
      <c r="Q40" s="30"/>
      <c r="R40" s="30"/>
      <c r="S40" s="197"/>
      <c r="T40" s="195"/>
      <c r="U40" s="195"/>
      <c r="V40" s="195"/>
    </row>
    <row r="41" spans="1:22" x14ac:dyDescent="0.2">
      <c r="A41" s="22"/>
      <c r="B41" s="14"/>
      <c r="C41" s="14"/>
      <c r="D41" s="14"/>
      <c r="E41" s="14"/>
      <c r="F41" s="26"/>
      <c r="G41" s="171"/>
      <c r="H41" s="172"/>
      <c r="I41" s="172"/>
      <c r="J41" s="172"/>
      <c r="K41" s="173"/>
      <c r="L41" s="24"/>
      <c r="M41" s="25"/>
    </row>
    <row r="42" spans="1:22" ht="13.5" thickBot="1" x14ac:dyDescent="0.25">
      <c r="A42" s="31">
        <v>6</v>
      </c>
      <c r="B42" s="32"/>
      <c r="C42" s="33">
        <v>1688</v>
      </c>
      <c r="D42" s="32"/>
      <c r="E42" s="33">
        <v>1688</v>
      </c>
      <c r="F42" s="34"/>
      <c r="G42" s="174" t="s">
        <v>22</v>
      </c>
      <c r="H42" s="175"/>
      <c r="I42" s="175"/>
      <c r="J42" s="175"/>
      <c r="K42" s="176"/>
      <c r="L42" s="35"/>
      <c r="M42" s="36"/>
    </row>
    <row r="43" spans="1:22" ht="9" customHeight="1" x14ac:dyDescent="0.2">
      <c r="A43" s="148" t="s">
        <v>32</v>
      </c>
      <c r="B43" s="149"/>
      <c r="C43" s="149"/>
      <c r="D43" s="149"/>
      <c r="E43" s="149"/>
      <c r="F43" s="149"/>
      <c r="G43" s="149"/>
      <c r="H43" s="150"/>
      <c r="I43" s="177" t="s">
        <v>35</v>
      </c>
      <c r="J43" s="178"/>
      <c r="K43" s="178"/>
      <c r="L43" s="178"/>
      <c r="M43" s="179"/>
    </row>
    <row r="44" spans="1:22" ht="9.75" customHeight="1" x14ac:dyDescent="0.2">
      <c r="A44" s="151"/>
      <c r="B44" s="152"/>
      <c r="C44" s="152"/>
      <c r="D44" s="152"/>
      <c r="E44" s="152"/>
      <c r="F44" s="152"/>
      <c r="G44" s="152"/>
      <c r="H44" s="153"/>
      <c r="I44" s="180"/>
      <c r="J44" s="181"/>
      <c r="K44" s="181"/>
      <c r="L44" s="181"/>
      <c r="M44" s="182"/>
    </row>
    <row r="45" spans="1:22" ht="9.75" customHeight="1" x14ac:dyDescent="0.2">
      <c r="A45" s="183" t="s">
        <v>33</v>
      </c>
      <c r="B45" s="184"/>
      <c r="C45" s="184"/>
      <c r="D45" s="184"/>
      <c r="E45" s="184"/>
      <c r="F45" s="184"/>
      <c r="G45" s="184"/>
      <c r="H45" s="185"/>
      <c r="I45" s="186" t="s">
        <v>36</v>
      </c>
      <c r="J45" s="187"/>
      <c r="K45" s="187"/>
      <c r="L45" s="187"/>
      <c r="M45" s="188"/>
    </row>
    <row r="46" spans="1:22" ht="6.75" customHeight="1" x14ac:dyDescent="0.2">
      <c r="A46" s="183" t="s">
        <v>34</v>
      </c>
      <c r="B46" s="184"/>
      <c r="C46" s="184"/>
      <c r="D46" s="184"/>
      <c r="E46" s="184"/>
      <c r="F46" s="184"/>
      <c r="G46" s="184"/>
      <c r="H46" s="185"/>
      <c r="I46" s="186"/>
      <c r="J46" s="187"/>
      <c r="K46" s="187"/>
      <c r="L46" s="187"/>
      <c r="M46" s="188"/>
    </row>
    <row r="47" spans="1:22" ht="12" customHeight="1" thickBot="1" x14ac:dyDescent="0.25">
      <c r="A47" s="189"/>
      <c r="B47" s="190"/>
      <c r="C47" s="190"/>
      <c r="D47" s="190"/>
      <c r="E47" s="190"/>
      <c r="F47" s="190"/>
      <c r="G47" s="190"/>
      <c r="H47" s="191"/>
      <c r="I47" s="192" t="s">
        <v>37</v>
      </c>
      <c r="J47" s="193"/>
      <c r="K47" s="193"/>
      <c r="L47" s="193"/>
      <c r="M47" s="194"/>
    </row>
    <row r="48" spans="1:22" ht="13.5" thickBot="1" x14ac:dyDescent="0.25">
      <c r="A48" s="145" t="s">
        <v>38</v>
      </c>
      <c r="B48" s="146"/>
      <c r="C48" s="146"/>
      <c r="D48" s="146"/>
      <c r="E48" s="146"/>
      <c r="F48" s="146"/>
      <c r="G48" s="146"/>
      <c r="H48" s="146"/>
      <c r="I48" s="146"/>
      <c r="J48" s="146"/>
      <c r="K48" s="146"/>
      <c r="L48" s="146"/>
      <c r="M48" s="147"/>
    </row>
    <row r="49" spans="1:13" ht="11.25" customHeight="1" x14ac:dyDescent="0.2">
      <c r="A49" s="148" t="s">
        <v>39</v>
      </c>
      <c r="B49" s="149"/>
      <c r="C49" s="149"/>
      <c r="D49" s="149"/>
      <c r="E49" s="149"/>
      <c r="F49" s="149"/>
      <c r="G49" s="149"/>
      <c r="H49" s="150"/>
      <c r="I49" s="156" t="s">
        <v>40</v>
      </c>
      <c r="J49" s="157"/>
      <c r="K49" s="157"/>
      <c r="L49" s="157"/>
      <c r="M49" s="158"/>
    </row>
    <row r="50" spans="1:13" x14ac:dyDescent="0.2">
      <c r="A50" s="151"/>
      <c r="B50" s="152"/>
      <c r="C50" s="152"/>
      <c r="D50" s="152"/>
      <c r="E50" s="152"/>
      <c r="F50" s="152"/>
      <c r="G50" s="152"/>
      <c r="H50" s="153"/>
      <c r="I50" s="159"/>
      <c r="J50" s="160"/>
      <c r="K50" s="160"/>
      <c r="L50" s="160"/>
      <c r="M50" s="161"/>
    </row>
    <row r="51" spans="1:13" ht="13.5" thickBot="1" x14ac:dyDescent="0.25">
      <c r="A51" s="154"/>
      <c r="B51" s="155"/>
      <c r="C51" s="155"/>
      <c r="D51" s="155"/>
      <c r="E51" s="152"/>
      <c r="F51" s="152"/>
      <c r="G51" s="152"/>
      <c r="H51" s="153"/>
      <c r="I51" s="162" t="s">
        <v>41</v>
      </c>
      <c r="J51" s="163"/>
      <c r="K51" s="164"/>
      <c r="L51" s="164"/>
      <c r="M51" s="165"/>
    </row>
    <row r="52" spans="1:13" x14ac:dyDescent="0.2">
      <c r="A52" s="166" t="s">
        <v>42</v>
      </c>
      <c r="B52" s="167"/>
      <c r="C52" s="167"/>
      <c r="D52" s="167"/>
      <c r="E52" s="37" t="s">
        <v>44</v>
      </c>
      <c r="F52" s="38"/>
      <c r="G52" s="168" t="s">
        <v>45</v>
      </c>
      <c r="H52" s="168"/>
      <c r="I52" s="168"/>
      <c r="J52" s="169"/>
      <c r="K52" s="167" t="s">
        <v>50</v>
      </c>
      <c r="L52" s="167"/>
      <c r="M52" s="170"/>
    </row>
    <row r="53" spans="1:13" ht="3.75" customHeight="1" x14ac:dyDescent="0.2">
      <c r="A53" s="132" t="s">
        <v>43</v>
      </c>
      <c r="B53" s="133"/>
      <c r="C53" s="133"/>
      <c r="D53" s="133"/>
      <c r="E53" s="39"/>
      <c r="F53" s="40"/>
      <c r="G53" s="40"/>
      <c r="H53" s="40"/>
      <c r="I53" s="40"/>
      <c r="J53" s="41"/>
      <c r="K53" s="133" t="s">
        <v>52</v>
      </c>
      <c r="L53" s="133"/>
      <c r="M53" s="134"/>
    </row>
    <row r="54" spans="1:13" ht="14.25" customHeight="1" x14ac:dyDescent="0.2">
      <c r="A54" s="132"/>
      <c r="B54" s="133"/>
      <c r="C54" s="133"/>
      <c r="D54" s="133"/>
      <c r="E54" s="135" t="s">
        <v>46</v>
      </c>
      <c r="F54" s="136"/>
      <c r="G54" s="42"/>
      <c r="H54" s="125" t="s">
        <v>46</v>
      </c>
      <c r="I54" s="125"/>
      <c r="J54" s="126"/>
      <c r="K54" s="133"/>
      <c r="L54" s="133"/>
      <c r="M54" s="134"/>
    </row>
    <row r="55" spans="1:13" ht="9" customHeight="1" x14ac:dyDescent="0.2">
      <c r="A55" s="132"/>
      <c r="B55" s="133"/>
      <c r="C55" s="133"/>
      <c r="D55" s="133"/>
      <c r="E55" s="135" t="s">
        <v>47</v>
      </c>
      <c r="F55" s="136"/>
      <c r="G55" s="136"/>
      <c r="H55" s="125" t="s">
        <v>48</v>
      </c>
      <c r="I55" s="125"/>
      <c r="J55" s="126"/>
      <c r="K55" s="133"/>
      <c r="L55" s="133"/>
      <c r="M55" s="134"/>
    </row>
    <row r="56" spans="1:13" ht="6" customHeight="1" x14ac:dyDescent="0.2">
      <c r="A56" s="137"/>
      <c r="B56" s="138"/>
      <c r="C56" s="138"/>
      <c r="D56" s="139"/>
      <c r="E56" s="135"/>
      <c r="F56" s="136"/>
      <c r="G56" s="136"/>
      <c r="H56" s="125"/>
      <c r="I56" s="125"/>
      <c r="J56" s="126"/>
      <c r="K56" s="143" t="s">
        <v>51</v>
      </c>
      <c r="L56" s="143"/>
      <c r="M56" s="144"/>
    </row>
    <row r="57" spans="1:13" ht="14.25" customHeight="1" x14ac:dyDescent="0.2">
      <c r="A57" s="137"/>
      <c r="B57" s="138"/>
      <c r="C57" s="138"/>
      <c r="D57" s="139"/>
      <c r="E57" s="135"/>
      <c r="F57" s="136"/>
      <c r="G57" s="42"/>
      <c r="H57" s="125" t="s">
        <v>49</v>
      </c>
      <c r="I57" s="125"/>
      <c r="J57" s="126"/>
      <c r="K57" s="43"/>
      <c r="L57" s="44"/>
      <c r="M57" s="45"/>
    </row>
    <row r="58" spans="1:13" ht="12.75" customHeight="1" thickBot="1" x14ac:dyDescent="0.25">
      <c r="A58" s="140"/>
      <c r="B58" s="141"/>
      <c r="C58" s="141"/>
      <c r="D58" s="142"/>
      <c r="E58" s="127"/>
      <c r="F58" s="128"/>
      <c r="G58" s="128"/>
      <c r="H58" s="128"/>
      <c r="I58" s="128"/>
      <c r="J58" s="129"/>
      <c r="K58" s="46"/>
      <c r="L58" s="47"/>
      <c r="M58" s="48"/>
    </row>
    <row r="59" spans="1:13" ht="26.25" customHeight="1" x14ac:dyDescent="0.2">
      <c r="A59" s="49"/>
      <c r="B59" s="49"/>
      <c r="C59" s="49"/>
      <c r="D59" s="49"/>
      <c r="E59" s="30"/>
      <c r="F59" s="30"/>
      <c r="G59" s="30"/>
      <c r="H59" s="28"/>
      <c r="I59" s="28"/>
      <c r="J59" s="28"/>
    </row>
  </sheetData>
  <mergeCells count="112">
    <mergeCell ref="A4:H4"/>
    <mergeCell ref="I4:M6"/>
    <mergeCell ref="A5:H5"/>
    <mergeCell ref="A6:E6"/>
    <mergeCell ref="F6:G6"/>
    <mergeCell ref="A7:H7"/>
    <mergeCell ref="A1:B1"/>
    <mergeCell ref="C1:K1"/>
    <mergeCell ref="L1:M1"/>
    <mergeCell ref="A2:H2"/>
    <mergeCell ref="I2:M3"/>
    <mergeCell ref="A3:H3"/>
    <mergeCell ref="A11:E11"/>
    <mergeCell ref="F11:G11"/>
    <mergeCell ref="A12:H12"/>
    <mergeCell ref="I12:M14"/>
    <mergeCell ref="A13:H13"/>
    <mergeCell ref="A14:H14"/>
    <mergeCell ref="A8:D8"/>
    <mergeCell ref="E8:H8"/>
    <mergeCell ref="I8:M8"/>
    <mergeCell ref="A9:H9"/>
    <mergeCell ref="A10:H10"/>
    <mergeCell ref="A19:M19"/>
    <mergeCell ref="A20:D21"/>
    <mergeCell ref="E20:E21"/>
    <mergeCell ref="F20:G21"/>
    <mergeCell ref="H20:I20"/>
    <mergeCell ref="J20:M21"/>
    <mergeCell ref="H21:I21"/>
    <mergeCell ref="A15:H15"/>
    <mergeCell ref="I15:M15"/>
    <mergeCell ref="I16:M16"/>
    <mergeCell ref="I17:J17"/>
    <mergeCell ref="K17:M18"/>
    <mergeCell ref="I18:J18"/>
    <mergeCell ref="A24:D24"/>
    <mergeCell ref="F24:G24"/>
    <mergeCell ref="J24:M24"/>
    <mergeCell ref="A25:D25"/>
    <mergeCell ref="F25:G25"/>
    <mergeCell ref="J25:M25"/>
    <mergeCell ref="A22:D22"/>
    <mergeCell ref="F22:G22"/>
    <mergeCell ref="J22:M22"/>
    <mergeCell ref="A23:D23"/>
    <mergeCell ref="F23:G23"/>
    <mergeCell ref="J23:M23"/>
    <mergeCell ref="A28:D28"/>
    <mergeCell ref="F28:G28"/>
    <mergeCell ref="J28:M28"/>
    <mergeCell ref="A29:D29"/>
    <mergeCell ref="F29:G29"/>
    <mergeCell ref="J29:M29"/>
    <mergeCell ref="A26:D26"/>
    <mergeCell ref="F26:G26"/>
    <mergeCell ref="J26:M26"/>
    <mergeCell ref="A27:D27"/>
    <mergeCell ref="F27:G27"/>
    <mergeCell ref="J27:M27"/>
    <mergeCell ref="G33:K33"/>
    <mergeCell ref="G34:K34"/>
    <mergeCell ref="G35:K35"/>
    <mergeCell ref="G36:K36"/>
    <mergeCell ref="G37:K37"/>
    <mergeCell ref="Q37:R37"/>
    <mergeCell ref="A30:D30"/>
    <mergeCell ref="F30:G30"/>
    <mergeCell ref="J30:M30"/>
    <mergeCell ref="A31:M31"/>
    <mergeCell ref="A32:B32"/>
    <mergeCell ref="C32:D32"/>
    <mergeCell ref="E32:E33"/>
    <mergeCell ref="F32:F33"/>
    <mergeCell ref="G32:K32"/>
    <mergeCell ref="L32:M32"/>
    <mergeCell ref="A45:H45"/>
    <mergeCell ref="I45:M46"/>
    <mergeCell ref="A46:H47"/>
    <mergeCell ref="I47:M47"/>
    <mergeCell ref="T37:V37"/>
    <mergeCell ref="G38:K38"/>
    <mergeCell ref="Q38:R38"/>
    <mergeCell ref="T38:V38"/>
    <mergeCell ref="G39:K39"/>
    <mergeCell ref="S39:S40"/>
    <mergeCell ref="T39:V40"/>
    <mergeCell ref="G40:K40"/>
    <mergeCell ref="H57:J57"/>
    <mergeCell ref="E58:J58"/>
    <mergeCell ref="F16:H16"/>
    <mergeCell ref="A53:D55"/>
    <mergeCell ref="K53:M55"/>
    <mergeCell ref="E54:F54"/>
    <mergeCell ref="H54:J54"/>
    <mergeCell ref="E55:F56"/>
    <mergeCell ref="G55:G56"/>
    <mergeCell ref="H55:J56"/>
    <mergeCell ref="A56:D58"/>
    <mergeCell ref="K56:M56"/>
    <mergeCell ref="E57:F57"/>
    <mergeCell ref="A48:M48"/>
    <mergeCell ref="A49:H51"/>
    <mergeCell ref="I49:M50"/>
    <mergeCell ref="I51:M51"/>
    <mergeCell ref="A52:D52"/>
    <mergeCell ref="G52:J52"/>
    <mergeCell ref="K52:M52"/>
    <mergeCell ref="G41:K41"/>
    <mergeCell ref="G42:K42"/>
    <mergeCell ref="A43:H44"/>
    <mergeCell ref="I43:M44"/>
  </mergeCells>
  <pageMargins left="0.25" right="0.26" top="0.52" bottom="0.56000000000000005"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EDE3F-A5B1-4510-8EA4-93E70B2B66C7}">
  <dimension ref="A1:M61"/>
  <sheetViews>
    <sheetView topLeftCell="A24" workbookViewId="0">
      <selection activeCell="F25" sqref="F25:G25"/>
    </sheetView>
  </sheetViews>
  <sheetFormatPr defaultRowHeight="12.75" x14ac:dyDescent="0.2"/>
  <cols>
    <col min="1" max="4" width="7.42578125" style="11" customWidth="1"/>
    <col min="5" max="5" width="9.140625" style="11"/>
    <col min="6" max="6" width="5.5703125" style="11" customWidth="1"/>
    <col min="7" max="7" width="3.5703125" style="11" customWidth="1"/>
    <col min="8" max="8" width="5.140625" style="11" customWidth="1"/>
    <col min="9" max="9" width="5.42578125" style="11" customWidth="1"/>
    <col min="10" max="10" width="9.140625" style="11"/>
    <col min="11" max="11" width="17.140625" style="11" customWidth="1"/>
    <col min="12" max="12" width="9.140625" style="11"/>
    <col min="13" max="13" width="9" style="11" customWidth="1"/>
    <col min="14" max="256" width="9.140625" style="11"/>
    <col min="257" max="260" width="7.42578125" style="11" customWidth="1"/>
    <col min="261" max="261" width="9.140625" style="11"/>
    <col min="262" max="262" width="5.5703125" style="11" customWidth="1"/>
    <col min="263" max="263" width="3.5703125" style="11" customWidth="1"/>
    <col min="264" max="264" width="5.140625" style="11" customWidth="1"/>
    <col min="265" max="265" width="5.42578125" style="11" customWidth="1"/>
    <col min="266" max="266" width="9.140625" style="11"/>
    <col min="267" max="267" width="17.140625" style="11" customWidth="1"/>
    <col min="268" max="268" width="9.140625" style="11"/>
    <col min="269" max="269" width="9" style="11" customWidth="1"/>
    <col min="270" max="512" width="9.140625" style="11"/>
    <col min="513" max="516" width="7.42578125" style="11" customWidth="1"/>
    <col min="517" max="517" width="9.140625" style="11"/>
    <col min="518" max="518" width="5.5703125" style="11" customWidth="1"/>
    <col min="519" max="519" width="3.5703125" style="11" customWidth="1"/>
    <col min="520" max="520" width="5.140625" style="11" customWidth="1"/>
    <col min="521" max="521" width="5.42578125" style="11" customWidth="1"/>
    <col min="522" max="522" width="9.140625" style="11"/>
    <col min="523" max="523" width="17.140625" style="11" customWidth="1"/>
    <col min="524" max="524" width="9.140625" style="11"/>
    <col min="525" max="525" width="9" style="11" customWidth="1"/>
    <col min="526" max="768" width="9.140625" style="11"/>
    <col min="769" max="772" width="7.42578125" style="11" customWidth="1"/>
    <col min="773" max="773" width="9.140625" style="11"/>
    <col min="774" max="774" width="5.5703125" style="11" customWidth="1"/>
    <col min="775" max="775" width="3.5703125" style="11" customWidth="1"/>
    <col min="776" max="776" width="5.140625" style="11" customWidth="1"/>
    <col min="777" max="777" width="5.42578125" style="11" customWidth="1"/>
    <col min="778" max="778" width="9.140625" style="11"/>
    <col min="779" max="779" width="17.140625" style="11" customWidth="1"/>
    <col min="780" max="780" width="9.140625" style="11"/>
    <col min="781" max="781" width="9" style="11" customWidth="1"/>
    <col min="782" max="1024" width="9.140625" style="11"/>
    <col min="1025" max="1028" width="7.42578125" style="11" customWidth="1"/>
    <col min="1029" max="1029" width="9.140625" style="11"/>
    <col min="1030" max="1030" width="5.5703125" style="11" customWidth="1"/>
    <col min="1031" max="1031" width="3.5703125" style="11" customWidth="1"/>
    <col min="1032" max="1032" width="5.140625" style="11" customWidth="1"/>
    <col min="1033" max="1033" width="5.42578125" style="11" customWidth="1"/>
    <col min="1034" max="1034" width="9.140625" style="11"/>
    <col min="1035" max="1035" width="17.140625" style="11" customWidth="1"/>
    <col min="1036" max="1036" width="9.140625" style="11"/>
    <col min="1037" max="1037" width="9" style="11" customWidth="1"/>
    <col min="1038" max="1280" width="9.140625" style="11"/>
    <col min="1281" max="1284" width="7.42578125" style="11" customWidth="1"/>
    <col min="1285" max="1285" width="9.140625" style="11"/>
    <col min="1286" max="1286" width="5.5703125" style="11" customWidth="1"/>
    <col min="1287" max="1287" width="3.5703125" style="11" customWidth="1"/>
    <col min="1288" max="1288" width="5.140625" style="11" customWidth="1"/>
    <col min="1289" max="1289" width="5.42578125" style="11" customWidth="1"/>
    <col min="1290" max="1290" width="9.140625" style="11"/>
    <col min="1291" max="1291" width="17.140625" style="11" customWidth="1"/>
    <col min="1292" max="1292" width="9.140625" style="11"/>
    <col min="1293" max="1293" width="9" style="11" customWidth="1"/>
    <col min="1294" max="1536" width="9.140625" style="11"/>
    <col min="1537" max="1540" width="7.42578125" style="11" customWidth="1"/>
    <col min="1541" max="1541" width="9.140625" style="11"/>
    <col min="1542" max="1542" width="5.5703125" style="11" customWidth="1"/>
    <col min="1543" max="1543" width="3.5703125" style="11" customWidth="1"/>
    <col min="1544" max="1544" width="5.140625" style="11" customWidth="1"/>
    <col min="1545" max="1545" width="5.42578125" style="11" customWidth="1"/>
    <col min="1546" max="1546" width="9.140625" style="11"/>
    <col min="1547" max="1547" width="17.140625" style="11" customWidth="1"/>
    <col min="1548" max="1548" width="9.140625" style="11"/>
    <col min="1549" max="1549" width="9" style="11" customWidth="1"/>
    <col min="1550" max="1792" width="9.140625" style="11"/>
    <col min="1793" max="1796" width="7.42578125" style="11" customWidth="1"/>
    <col min="1797" max="1797" width="9.140625" style="11"/>
    <col min="1798" max="1798" width="5.5703125" style="11" customWidth="1"/>
    <col min="1799" max="1799" width="3.5703125" style="11" customWidth="1"/>
    <col min="1800" max="1800" width="5.140625" style="11" customWidth="1"/>
    <col min="1801" max="1801" width="5.42578125" style="11" customWidth="1"/>
    <col min="1802" max="1802" width="9.140625" style="11"/>
    <col min="1803" max="1803" width="17.140625" style="11" customWidth="1"/>
    <col min="1804" max="1804" width="9.140625" style="11"/>
    <col min="1805" max="1805" width="9" style="11" customWidth="1"/>
    <col min="1806" max="2048" width="9.140625" style="11"/>
    <col min="2049" max="2052" width="7.42578125" style="11" customWidth="1"/>
    <col min="2053" max="2053" width="9.140625" style="11"/>
    <col min="2054" max="2054" width="5.5703125" style="11" customWidth="1"/>
    <col min="2055" max="2055" width="3.5703125" style="11" customWidth="1"/>
    <col min="2056" max="2056" width="5.140625" style="11" customWidth="1"/>
    <col min="2057" max="2057" width="5.42578125" style="11" customWidth="1"/>
    <col min="2058" max="2058" width="9.140625" style="11"/>
    <col min="2059" max="2059" width="17.140625" style="11" customWidth="1"/>
    <col min="2060" max="2060" width="9.140625" style="11"/>
    <col min="2061" max="2061" width="9" style="11" customWidth="1"/>
    <col min="2062" max="2304" width="9.140625" style="11"/>
    <col min="2305" max="2308" width="7.42578125" style="11" customWidth="1"/>
    <col min="2309" max="2309" width="9.140625" style="11"/>
    <col min="2310" max="2310" width="5.5703125" style="11" customWidth="1"/>
    <col min="2311" max="2311" width="3.5703125" style="11" customWidth="1"/>
    <col min="2312" max="2312" width="5.140625" style="11" customWidth="1"/>
    <col min="2313" max="2313" width="5.42578125" style="11" customWidth="1"/>
    <col min="2314" max="2314" width="9.140625" style="11"/>
    <col min="2315" max="2315" width="17.140625" style="11" customWidth="1"/>
    <col min="2316" max="2316" width="9.140625" style="11"/>
    <col min="2317" max="2317" width="9" style="11" customWidth="1"/>
    <col min="2318" max="2560" width="9.140625" style="11"/>
    <col min="2561" max="2564" width="7.42578125" style="11" customWidth="1"/>
    <col min="2565" max="2565" width="9.140625" style="11"/>
    <col min="2566" max="2566" width="5.5703125" style="11" customWidth="1"/>
    <col min="2567" max="2567" width="3.5703125" style="11" customWidth="1"/>
    <col min="2568" max="2568" width="5.140625" style="11" customWidth="1"/>
    <col min="2569" max="2569" width="5.42578125" style="11" customWidth="1"/>
    <col min="2570" max="2570" width="9.140625" style="11"/>
    <col min="2571" max="2571" width="17.140625" style="11" customWidth="1"/>
    <col min="2572" max="2572" width="9.140625" style="11"/>
    <col min="2573" max="2573" width="9" style="11" customWidth="1"/>
    <col min="2574" max="2816" width="9.140625" style="11"/>
    <col min="2817" max="2820" width="7.42578125" style="11" customWidth="1"/>
    <col min="2821" max="2821" width="9.140625" style="11"/>
    <col min="2822" max="2822" width="5.5703125" style="11" customWidth="1"/>
    <col min="2823" max="2823" width="3.5703125" style="11" customWidth="1"/>
    <col min="2824" max="2824" width="5.140625" style="11" customWidth="1"/>
    <col min="2825" max="2825" width="5.42578125" style="11" customWidth="1"/>
    <col min="2826" max="2826" width="9.140625" style="11"/>
    <col min="2827" max="2827" width="17.140625" style="11" customWidth="1"/>
    <col min="2828" max="2828" width="9.140625" style="11"/>
    <col min="2829" max="2829" width="9" style="11" customWidth="1"/>
    <col min="2830" max="3072" width="9.140625" style="11"/>
    <col min="3073" max="3076" width="7.42578125" style="11" customWidth="1"/>
    <col min="3077" max="3077" width="9.140625" style="11"/>
    <col min="3078" max="3078" width="5.5703125" style="11" customWidth="1"/>
    <col min="3079" max="3079" width="3.5703125" style="11" customWidth="1"/>
    <col min="3080" max="3080" width="5.140625" style="11" customWidth="1"/>
    <col min="3081" max="3081" width="5.42578125" style="11" customWidth="1"/>
    <col min="3082" max="3082" width="9.140625" style="11"/>
    <col min="3083" max="3083" width="17.140625" style="11" customWidth="1"/>
    <col min="3084" max="3084" width="9.140625" style="11"/>
    <col min="3085" max="3085" width="9" style="11" customWidth="1"/>
    <col min="3086" max="3328" width="9.140625" style="11"/>
    <col min="3329" max="3332" width="7.42578125" style="11" customWidth="1"/>
    <col min="3333" max="3333" width="9.140625" style="11"/>
    <col min="3334" max="3334" width="5.5703125" style="11" customWidth="1"/>
    <col min="3335" max="3335" width="3.5703125" style="11" customWidth="1"/>
    <col min="3336" max="3336" width="5.140625" style="11" customWidth="1"/>
    <col min="3337" max="3337" width="5.42578125" style="11" customWidth="1"/>
    <col min="3338" max="3338" width="9.140625" style="11"/>
    <col min="3339" max="3339" width="17.140625" style="11" customWidth="1"/>
    <col min="3340" max="3340" width="9.140625" style="11"/>
    <col min="3341" max="3341" width="9" style="11" customWidth="1"/>
    <col min="3342" max="3584" width="9.140625" style="11"/>
    <col min="3585" max="3588" width="7.42578125" style="11" customWidth="1"/>
    <col min="3589" max="3589" width="9.140625" style="11"/>
    <col min="3590" max="3590" width="5.5703125" style="11" customWidth="1"/>
    <col min="3591" max="3591" width="3.5703125" style="11" customWidth="1"/>
    <col min="3592" max="3592" width="5.140625" style="11" customWidth="1"/>
    <col min="3593" max="3593" width="5.42578125" style="11" customWidth="1"/>
    <col min="3594" max="3594" width="9.140625" style="11"/>
    <col min="3595" max="3595" width="17.140625" style="11" customWidth="1"/>
    <col min="3596" max="3596" width="9.140625" style="11"/>
    <col min="3597" max="3597" width="9" style="11" customWidth="1"/>
    <col min="3598" max="3840" width="9.140625" style="11"/>
    <col min="3841" max="3844" width="7.42578125" style="11" customWidth="1"/>
    <col min="3845" max="3845" width="9.140625" style="11"/>
    <col min="3846" max="3846" width="5.5703125" style="11" customWidth="1"/>
    <col min="3847" max="3847" width="3.5703125" style="11" customWidth="1"/>
    <col min="3848" max="3848" width="5.140625" style="11" customWidth="1"/>
    <col min="3849" max="3849" width="5.42578125" style="11" customWidth="1"/>
    <col min="3850" max="3850" width="9.140625" style="11"/>
    <col min="3851" max="3851" width="17.140625" style="11" customWidth="1"/>
    <col min="3852" max="3852" width="9.140625" style="11"/>
    <col min="3853" max="3853" width="9" style="11" customWidth="1"/>
    <col min="3854" max="4096" width="9.140625" style="11"/>
    <col min="4097" max="4100" width="7.42578125" style="11" customWidth="1"/>
    <col min="4101" max="4101" width="9.140625" style="11"/>
    <col min="4102" max="4102" width="5.5703125" style="11" customWidth="1"/>
    <col min="4103" max="4103" width="3.5703125" style="11" customWidth="1"/>
    <col min="4104" max="4104" width="5.140625" style="11" customWidth="1"/>
    <col min="4105" max="4105" width="5.42578125" style="11" customWidth="1"/>
    <col min="4106" max="4106" width="9.140625" style="11"/>
    <col min="4107" max="4107" width="17.140625" style="11" customWidth="1"/>
    <col min="4108" max="4108" width="9.140625" style="11"/>
    <col min="4109" max="4109" width="9" style="11" customWidth="1"/>
    <col min="4110" max="4352" width="9.140625" style="11"/>
    <col min="4353" max="4356" width="7.42578125" style="11" customWidth="1"/>
    <col min="4357" max="4357" width="9.140625" style="11"/>
    <col min="4358" max="4358" width="5.5703125" style="11" customWidth="1"/>
    <col min="4359" max="4359" width="3.5703125" style="11" customWidth="1"/>
    <col min="4360" max="4360" width="5.140625" style="11" customWidth="1"/>
    <col min="4361" max="4361" width="5.42578125" style="11" customWidth="1"/>
    <col min="4362" max="4362" width="9.140625" style="11"/>
    <col min="4363" max="4363" width="17.140625" style="11" customWidth="1"/>
    <col min="4364" max="4364" width="9.140625" style="11"/>
    <col min="4365" max="4365" width="9" style="11" customWidth="1"/>
    <col min="4366" max="4608" width="9.140625" style="11"/>
    <col min="4609" max="4612" width="7.42578125" style="11" customWidth="1"/>
    <col min="4613" max="4613" width="9.140625" style="11"/>
    <col min="4614" max="4614" width="5.5703125" style="11" customWidth="1"/>
    <col min="4615" max="4615" width="3.5703125" style="11" customWidth="1"/>
    <col min="4616" max="4616" width="5.140625" style="11" customWidth="1"/>
    <col min="4617" max="4617" width="5.42578125" style="11" customWidth="1"/>
    <col min="4618" max="4618" width="9.140625" style="11"/>
    <col min="4619" max="4619" width="17.140625" style="11" customWidth="1"/>
    <col min="4620" max="4620" width="9.140625" style="11"/>
    <col min="4621" max="4621" width="9" style="11" customWidth="1"/>
    <col min="4622" max="4864" width="9.140625" style="11"/>
    <col min="4865" max="4868" width="7.42578125" style="11" customWidth="1"/>
    <col min="4869" max="4869" width="9.140625" style="11"/>
    <col min="4870" max="4870" width="5.5703125" style="11" customWidth="1"/>
    <col min="4871" max="4871" width="3.5703125" style="11" customWidth="1"/>
    <col min="4872" max="4872" width="5.140625" style="11" customWidth="1"/>
    <col min="4873" max="4873" width="5.42578125" style="11" customWidth="1"/>
    <col min="4874" max="4874" width="9.140625" style="11"/>
    <col min="4875" max="4875" width="17.140625" style="11" customWidth="1"/>
    <col min="4876" max="4876" width="9.140625" style="11"/>
    <col min="4877" max="4877" width="9" style="11" customWidth="1"/>
    <col min="4878" max="5120" width="9.140625" style="11"/>
    <col min="5121" max="5124" width="7.42578125" style="11" customWidth="1"/>
    <col min="5125" max="5125" width="9.140625" style="11"/>
    <col min="5126" max="5126" width="5.5703125" style="11" customWidth="1"/>
    <col min="5127" max="5127" width="3.5703125" style="11" customWidth="1"/>
    <col min="5128" max="5128" width="5.140625" style="11" customWidth="1"/>
    <col min="5129" max="5129" width="5.42578125" style="11" customWidth="1"/>
    <col min="5130" max="5130" width="9.140625" style="11"/>
    <col min="5131" max="5131" width="17.140625" style="11" customWidth="1"/>
    <col min="5132" max="5132" width="9.140625" style="11"/>
    <col min="5133" max="5133" width="9" style="11" customWidth="1"/>
    <col min="5134" max="5376" width="9.140625" style="11"/>
    <col min="5377" max="5380" width="7.42578125" style="11" customWidth="1"/>
    <col min="5381" max="5381" width="9.140625" style="11"/>
    <col min="5382" max="5382" width="5.5703125" style="11" customWidth="1"/>
    <col min="5383" max="5383" width="3.5703125" style="11" customWidth="1"/>
    <col min="5384" max="5384" width="5.140625" style="11" customWidth="1"/>
    <col min="5385" max="5385" width="5.42578125" style="11" customWidth="1"/>
    <col min="5386" max="5386" width="9.140625" style="11"/>
    <col min="5387" max="5387" width="17.140625" style="11" customWidth="1"/>
    <col min="5388" max="5388" width="9.140625" style="11"/>
    <col min="5389" max="5389" width="9" style="11" customWidth="1"/>
    <col min="5390" max="5632" width="9.140625" style="11"/>
    <col min="5633" max="5636" width="7.42578125" style="11" customWidth="1"/>
    <col min="5637" max="5637" width="9.140625" style="11"/>
    <col min="5638" max="5638" width="5.5703125" style="11" customWidth="1"/>
    <col min="5639" max="5639" width="3.5703125" style="11" customWidth="1"/>
    <col min="5640" max="5640" width="5.140625" style="11" customWidth="1"/>
    <col min="5641" max="5641" width="5.42578125" style="11" customWidth="1"/>
    <col min="5642" max="5642" width="9.140625" style="11"/>
    <col min="5643" max="5643" width="17.140625" style="11" customWidth="1"/>
    <col min="5644" max="5644" width="9.140625" style="11"/>
    <col min="5645" max="5645" width="9" style="11" customWidth="1"/>
    <col min="5646" max="5888" width="9.140625" style="11"/>
    <col min="5889" max="5892" width="7.42578125" style="11" customWidth="1"/>
    <col min="5893" max="5893" width="9.140625" style="11"/>
    <col min="5894" max="5894" width="5.5703125" style="11" customWidth="1"/>
    <col min="5895" max="5895" width="3.5703125" style="11" customWidth="1"/>
    <col min="5896" max="5896" width="5.140625" style="11" customWidth="1"/>
    <col min="5897" max="5897" width="5.42578125" style="11" customWidth="1"/>
    <col min="5898" max="5898" width="9.140625" style="11"/>
    <col min="5899" max="5899" width="17.140625" style="11" customWidth="1"/>
    <col min="5900" max="5900" width="9.140625" style="11"/>
    <col min="5901" max="5901" width="9" style="11" customWidth="1"/>
    <col min="5902" max="6144" width="9.140625" style="11"/>
    <col min="6145" max="6148" width="7.42578125" style="11" customWidth="1"/>
    <col min="6149" max="6149" width="9.140625" style="11"/>
    <col min="6150" max="6150" width="5.5703125" style="11" customWidth="1"/>
    <col min="6151" max="6151" width="3.5703125" style="11" customWidth="1"/>
    <col min="6152" max="6152" width="5.140625" style="11" customWidth="1"/>
    <col min="6153" max="6153" width="5.42578125" style="11" customWidth="1"/>
    <col min="6154" max="6154" width="9.140625" style="11"/>
    <col min="6155" max="6155" width="17.140625" style="11" customWidth="1"/>
    <col min="6156" max="6156" width="9.140625" style="11"/>
    <col min="6157" max="6157" width="9" style="11" customWidth="1"/>
    <col min="6158" max="6400" width="9.140625" style="11"/>
    <col min="6401" max="6404" width="7.42578125" style="11" customWidth="1"/>
    <col min="6405" max="6405" width="9.140625" style="11"/>
    <col min="6406" max="6406" width="5.5703125" style="11" customWidth="1"/>
    <col min="6407" max="6407" width="3.5703125" style="11" customWidth="1"/>
    <col min="6408" max="6408" width="5.140625" style="11" customWidth="1"/>
    <col min="6409" max="6409" width="5.42578125" style="11" customWidth="1"/>
    <col min="6410" max="6410" width="9.140625" style="11"/>
    <col min="6411" max="6411" width="17.140625" style="11" customWidth="1"/>
    <col min="6412" max="6412" width="9.140625" style="11"/>
    <col min="6413" max="6413" width="9" style="11" customWidth="1"/>
    <col min="6414" max="6656" width="9.140625" style="11"/>
    <col min="6657" max="6660" width="7.42578125" style="11" customWidth="1"/>
    <col min="6661" max="6661" width="9.140625" style="11"/>
    <col min="6662" max="6662" width="5.5703125" style="11" customWidth="1"/>
    <col min="6663" max="6663" width="3.5703125" style="11" customWidth="1"/>
    <col min="6664" max="6664" width="5.140625" style="11" customWidth="1"/>
    <col min="6665" max="6665" width="5.42578125" style="11" customWidth="1"/>
    <col min="6666" max="6666" width="9.140625" style="11"/>
    <col min="6667" max="6667" width="17.140625" style="11" customWidth="1"/>
    <col min="6668" max="6668" width="9.140625" style="11"/>
    <col min="6669" max="6669" width="9" style="11" customWidth="1"/>
    <col min="6670" max="6912" width="9.140625" style="11"/>
    <col min="6913" max="6916" width="7.42578125" style="11" customWidth="1"/>
    <col min="6917" max="6917" width="9.140625" style="11"/>
    <col min="6918" max="6918" width="5.5703125" style="11" customWidth="1"/>
    <col min="6919" max="6919" width="3.5703125" style="11" customWidth="1"/>
    <col min="6920" max="6920" width="5.140625" style="11" customWidth="1"/>
    <col min="6921" max="6921" width="5.42578125" style="11" customWidth="1"/>
    <col min="6922" max="6922" width="9.140625" style="11"/>
    <col min="6923" max="6923" width="17.140625" style="11" customWidth="1"/>
    <col min="6924" max="6924" width="9.140625" style="11"/>
    <col min="6925" max="6925" width="9" style="11" customWidth="1"/>
    <col min="6926" max="7168" width="9.140625" style="11"/>
    <col min="7169" max="7172" width="7.42578125" style="11" customWidth="1"/>
    <col min="7173" max="7173" width="9.140625" style="11"/>
    <col min="7174" max="7174" width="5.5703125" style="11" customWidth="1"/>
    <col min="7175" max="7175" width="3.5703125" style="11" customWidth="1"/>
    <col min="7176" max="7176" width="5.140625" style="11" customWidth="1"/>
    <col min="7177" max="7177" width="5.42578125" style="11" customWidth="1"/>
    <col min="7178" max="7178" width="9.140625" style="11"/>
    <col min="7179" max="7179" width="17.140625" style="11" customWidth="1"/>
    <col min="7180" max="7180" width="9.140625" style="11"/>
    <col min="7181" max="7181" width="9" style="11" customWidth="1"/>
    <col min="7182" max="7424" width="9.140625" style="11"/>
    <col min="7425" max="7428" width="7.42578125" style="11" customWidth="1"/>
    <col min="7429" max="7429" width="9.140625" style="11"/>
    <col min="7430" max="7430" width="5.5703125" style="11" customWidth="1"/>
    <col min="7431" max="7431" width="3.5703125" style="11" customWidth="1"/>
    <col min="7432" max="7432" width="5.140625" style="11" customWidth="1"/>
    <col min="7433" max="7433" width="5.42578125" style="11" customWidth="1"/>
    <col min="7434" max="7434" width="9.140625" style="11"/>
    <col min="7435" max="7435" width="17.140625" style="11" customWidth="1"/>
    <col min="7436" max="7436" width="9.140625" style="11"/>
    <col min="7437" max="7437" width="9" style="11" customWidth="1"/>
    <col min="7438" max="7680" width="9.140625" style="11"/>
    <col min="7681" max="7684" width="7.42578125" style="11" customWidth="1"/>
    <col min="7685" max="7685" width="9.140625" style="11"/>
    <col min="7686" max="7686" width="5.5703125" style="11" customWidth="1"/>
    <col min="7687" max="7687" width="3.5703125" style="11" customWidth="1"/>
    <col min="7688" max="7688" width="5.140625" style="11" customWidth="1"/>
    <col min="7689" max="7689" width="5.42578125" style="11" customWidth="1"/>
    <col min="7690" max="7690" width="9.140625" style="11"/>
    <col min="7691" max="7691" width="17.140625" style="11" customWidth="1"/>
    <col min="7692" max="7692" width="9.140625" style="11"/>
    <col min="7693" max="7693" width="9" style="11" customWidth="1"/>
    <col min="7694" max="7936" width="9.140625" style="11"/>
    <col min="7937" max="7940" width="7.42578125" style="11" customWidth="1"/>
    <col min="7941" max="7941" width="9.140625" style="11"/>
    <col min="7942" max="7942" width="5.5703125" style="11" customWidth="1"/>
    <col min="7943" max="7943" width="3.5703125" style="11" customWidth="1"/>
    <col min="7944" max="7944" width="5.140625" style="11" customWidth="1"/>
    <col min="7945" max="7945" width="5.42578125" style="11" customWidth="1"/>
    <col min="7946" max="7946" width="9.140625" style="11"/>
    <col min="7947" max="7947" width="17.140625" style="11" customWidth="1"/>
    <col min="7948" max="7948" width="9.140625" style="11"/>
    <col min="7949" max="7949" width="9" style="11" customWidth="1"/>
    <col min="7950" max="8192" width="9.140625" style="11"/>
    <col min="8193" max="8196" width="7.42578125" style="11" customWidth="1"/>
    <col min="8197" max="8197" width="9.140625" style="11"/>
    <col min="8198" max="8198" width="5.5703125" style="11" customWidth="1"/>
    <col min="8199" max="8199" width="3.5703125" style="11" customWidth="1"/>
    <col min="8200" max="8200" width="5.140625" style="11" customWidth="1"/>
    <col min="8201" max="8201" width="5.42578125" style="11" customWidth="1"/>
    <col min="8202" max="8202" width="9.140625" style="11"/>
    <col min="8203" max="8203" width="17.140625" style="11" customWidth="1"/>
    <col min="8204" max="8204" width="9.140625" style="11"/>
    <col min="8205" max="8205" width="9" style="11" customWidth="1"/>
    <col min="8206" max="8448" width="9.140625" style="11"/>
    <col min="8449" max="8452" width="7.42578125" style="11" customWidth="1"/>
    <col min="8453" max="8453" width="9.140625" style="11"/>
    <col min="8454" max="8454" width="5.5703125" style="11" customWidth="1"/>
    <col min="8455" max="8455" width="3.5703125" style="11" customWidth="1"/>
    <col min="8456" max="8456" width="5.140625" style="11" customWidth="1"/>
    <col min="8457" max="8457" width="5.42578125" style="11" customWidth="1"/>
    <col min="8458" max="8458" width="9.140625" style="11"/>
    <col min="8459" max="8459" width="17.140625" style="11" customWidth="1"/>
    <col min="8460" max="8460" width="9.140625" style="11"/>
    <col min="8461" max="8461" width="9" style="11" customWidth="1"/>
    <col min="8462" max="8704" width="9.140625" style="11"/>
    <col min="8705" max="8708" width="7.42578125" style="11" customWidth="1"/>
    <col min="8709" max="8709" width="9.140625" style="11"/>
    <col min="8710" max="8710" width="5.5703125" style="11" customWidth="1"/>
    <col min="8711" max="8711" width="3.5703125" style="11" customWidth="1"/>
    <col min="8712" max="8712" width="5.140625" style="11" customWidth="1"/>
    <col min="8713" max="8713" width="5.42578125" style="11" customWidth="1"/>
    <col min="8714" max="8714" width="9.140625" style="11"/>
    <col min="8715" max="8715" width="17.140625" style="11" customWidth="1"/>
    <col min="8716" max="8716" width="9.140625" style="11"/>
    <col min="8717" max="8717" width="9" style="11" customWidth="1"/>
    <col min="8718" max="8960" width="9.140625" style="11"/>
    <col min="8961" max="8964" width="7.42578125" style="11" customWidth="1"/>
    <col min="8965" max="8965" width="9.140625" style="11"/>
    <col min="8966" max="8966" width="5.5703125" style="11" customWidth="1"/>
    <col min="8967" max="8967" width="3.5703125" style="11" customWidth="1"/>
    <col min="8968" max="8968" width="5.140625" style="11" customWidth="1"/>
    <col min="8969" max="8969" width="5.42578125" style="11" customWidth="1"/>
    <col min="8970" max="8970" width="9.140625" style="11"/>
    <col min="8971" max="8971" width="17.140625" style="11" customWidth="1"/>
    <col min="8972" max="8972" width="9.140625" style="11"/>
    <col min="8973" max="8973" width="9" style="11" customWidth="1"/>
    <col min="8974" max="9216" width="9.140625" style="11"/>
    <col min="9217" max="9220" width="7.42578125" style="11" customWidth="1"/>
    <col min="9221" max="9221" width="9.140625" style="11"/>
    <col min="9222" max="9222" width="5.5703125" style="11" customWidth="1"/>
    <col min="9223" max="9223" width="3.5703125" style="11" customWidth="1"/>
    <col min="9224" max="9224" width="5.140625" style="11" customWidth="1"/>
    <col min="9225" max="9225" width="5.42578125" style="11" customWidth="1"/>
    <col min="9226" max="9226" width="9.140625" style="11"/>
    <col min="9227" max="9227" width="17.140625" style="11" customWidth="1"/>
    <col min="9228" max="9228" width="9.140625" style="11"/>
    <col min="9229" max="9229" width="9" style="11" customWidth="1"/>
    <col min="9230" max="9472" width="9.140625" style="11"/>
    <col min="9473" max="9476" width="7.42578125" style="11" customWidth="1"/>
    <col min="9477" max="9477" width="9.140625" style="11"/>
    <col min="9478" max="9478" width="5.5703125" style="11" customWidth="1"/>
    <col min="9479" max="9479" width="3.5703125" style="11" customWidth="1"/>
    <col min="9480" max="9480" width="5.140625" style="11" customWidth="1"/>
    <col min="9481" max="9481" width="5.42578125" style="11" customWidth="1"/>
    <col min="9482" max="9482" width="9.140625" style="11"/>
    <col min="9483" max="9483" width="17.140625" style="11" customWidth="1"/>
    <col min="9484" max="9484" width="9.140625" style="11"/>
    <col min="9485" max="9485" width="9" style="11" customWidth="1"/>
    <col min="9486" max="9728" width="9.140625" style="11"/>
    <col min="9729" max="9732" width="7.42578125" style="11" customWidth="1"/>
    <col min="9733" max="9733" width="9.140625" style="11"/>
    <col min="9734" max="9734" width="5.5703125" style="11" customWidth="1"/>
    <col min="9735" max="9735" width="3.5703125" style="11" customWidth="1"/>
    <col min="9736" max="9736" width="5.140625" style="11" customWidth="1"/>
    <col min="9737" max="9737" width="5.42578125" style="11" customWidth="1"/>
    <col min="9738" max="9738" width="9.140625" style="11"/>
    <col min="9739" max="9739" width="17.140625" style="11" customWidth="1"/>
    <col min="9740" max="9740" width="9.140625" style="11"/>
    <col min="9741" max="9741" width="9" style="11" customWidth="1"/>
    <col min="9742" max="9984" width="9.140625" style="11"/>
    <col min="9985" max="9988" width="7.42578125" style="11" customWidth="1"/>
    <col min="9989" max="9989" width="9.140625" style="11"/>
    <col min="9990" max="9990" width="5.5703125" style="11" customWidth="1"/>
    <col min="9991" max="9991" width="3.5703125" style="11" customWidth="1"/>
    <col min="9992" max="9992" width="5.140625" style="11" customWidth="1"/>
    <col min="9993" max="9993" width="5.42578125" style="11" customWidth="1"/>
    <col min="9994" max="9994" width="9.140625" style="11"/>
    <col min="9995" max="9995" width="17.140625" style="11" customWidth="1"/>
    <col min="9996" max="9996" width="9.140625" style="11"/>
    <col min="9997" max="9997" width="9" style="11" customWidth="1"/>
    <col min="9998" max="10240" width="9.140625" style="11"/>
    <col min="10241" max="10244" width="7.42578125" style="11" customWidth="1"/>
    <col min="10245" max="10245" width="9.140625" style="11"/>
    <col min="10246" max="10246" width="5.5703125" style="11" customWidth="1"/>
    <col min="10247" max="10247" width="3.5703125" style="11" customWidth="1"/>
    <col min="10248" max="10248" width="5.140625" style="11" customWidth="1"/>
    <col min="10249" max="10249" width="5.42578125" style="11" customWidth="1"/>
    <col min="10250" max="10250" width="9.140625" style="11"/>
    <col min="10251" max="10251" width="17.140625" style="11" customWidth="1"/>
    <col min="10252" max="10252" width="9.140625" style="11"/>
    <col min="10253" max="10253" width="9" style="11" customWidth="1"/>
    <col min="10254" max="10496" width="9.140625" style="11"/>
    <col min="10497" max="10500" width="7.42578125" style="11" customWidth="1"/>
    <col min="10501" max="10501" width="9.140625" style="11"/>
    <col min="10502" max="10502" width="5.5703125" style="11" customWidth="1"/>
    <col min="10503" max="10503" width="3.5703125" style="11" customWidth="1"/>
    <col min="10504" max="10504" width="5.140625" style="11" customWidth="1"/>
    <col min="10505" max="10505" width="5.42578125" style="11" customWidth="1"/>
    <col min="10506" max="10506" width="9.140625" style="11"/>
    <col min="10507" max="10507" width="17.140625" style="11" customWidth="1"/>
    <col min="10508" max="10508" width="9.140625" style="11"/>
    <col min="10509" max="10509" width="9" style="11" customWidth="1"/>
    <col min="10510" max="10752" width="9.140625" style="11"/>
    <col min="10753" max="10756" width="7.42578125" style="11" customWidth="1"/>
    <col min="10757" max="10757" width="9.140625" style="11"/>
    <col min="10758" max="10758" width="5.5703125" style="11" customWidth="1"/>
    <col min="10759" max="10759" width="3.5703125" style="11" customWidth="1"/>
    <col min="10760" max="10760" width="5.140625" style="11" customWidth="1"/>
    <col min="10761" max="10761" width="5.42578125" style="11" customWidth="1"/>
    <col min="10762" max="10762" width="9.140625" style="11"/>
    <col min="10763" max="10763" width="17.140625" style="11" customWidth="1"/>
    <col min="10764" max="10764" width="9.140625" style="11"/>
    <col min="10765" max="10765" width="9" style="11" customWidth="1"/>
    <col min="10766" max="11008" width="9.140625" style="11"/>
    <col min="11009" max="11012" width="7.42578125" style="11" customWidth="1"/>
    <col min="11013" max="11013" width="9.140625" style="11"/>
    <col min="11014" max="11014" width="5.5703125" style="11" customWidth="1"/>
    <col min="11015" max="11015" width="3.5703125" style="11" customWidth="1"/>
    <col min="11016" max="11016" width="5.140625" style="11" customWidth="1"/>
    <col min="11017" max="11017" width="5.42578125" style="11" customWidth="1"/>
    <col min="11018" max="11018" width="9.140625" style="11"/>
    <col min="11019" max="11019" width="17.140625" style="11" customWidth="1"/>
    <col min="11020" max="11020" width="9.140625" style="11"/>
    <col min="11021" max="11021" width="9" style="11" customWidth="1"/>
    <col min="11022" max="11264" width="9.140625" style="11"/>
    <col min="11265" max="11268" width="7.42578125" style="11" customWidth="1"/>
    <col min="11269" max="11269" width="9.140625" style="11"/>
    <col min="11270" max="11270" width="5.5703125" style="11" customWidth="1"/>
    <col min="11271" max="11271" width="3.5703125" style="11" customWidth="1"/>
    <col min="11272" max="11272" width="5.140625" style="11" customWidth="1"/>
    <col min="11273" max="11273" width="5.42578125" style="11" customWidth="1"/>
    <col min="11274" max="11274" width="9.140625" style="11"/>
    <col min="11275" max="11275" width="17.140625" style="11" customWidth="1"/>
    <col min="11276" max="11276" width="9.140625" style="11"/>
    <col min="11277" max="11277" width="9" style="11" customWidth="1"/>
    <col min="11278" max="11520" width="9.140625" style="11"/>
    <col min="11521" max="11524" width="7.42578125" style="11" customWidth="1"/>
    <col min="11525" max="11525" width="9.140625" style="11"/>
    <col min="11526" max="11526" width="5.5703125" style="11" customWidth="1"/>
    <col min="11527" max="11527" width="3.5703125" style="11" customWidth="1"/>
    <col min="11528" max="11528" width="5.140625" style="11" customWidth="1"/>
    <col min="11529" max="11529" width="5.42578125" style="11" customWidth="1"/>
    <col min="11530" max="11530" width="9.140625" style="11"/>
    <col min="11531" max="11531" width="17.140625" style="11" customWidth="1"/>
    <col min="11532" max="11532" width="9.140625" style="11"/>
    <col min="11533" max="11533" width="9" style="11" customWidth="1"/>
    <col min="11534" max="11776" width="9.140625" style="11"/>
    <col min="11777" max="11780" width="7.42578125" style="11" customWidth="1"/>
    <col min="11781" max="11781" width="9.140625" style="11"/>
    <col min="11782" max="11782" width="5.5703125" style="11" customWidth="1"/>
    <col min="11783" max="11783" width="3.5703125" style="11" customWidth="1"/>
    <col min="11784" max="11784" width="5.140625" style="11" customWidth="1"/>
    <col min="11785" max="11785" width="5.42578125" style="11" customWidth="1"/>
    <col min="11786" max="11786" width="9.140625" style="11"/>
    <col min="11787" max="11787" width="17.140625" style="11" customWidth="1"/>
    <col min="11788" max="11788" width="9.140625" style="11"/>
    <col min="11789" max="11789" width="9" style="11" customWidth="1"/>
    <col min="11790" max="12032" width="9.140625" style="11"/>
    <col min="12033" max="12036" width="7.42578125" style="11" customWidth="1"/>
    <col min="12037" max="12037" width="9.140625" style="11"/>
    <col min="12038" max="12038" width="5.5703125" style="11" customWidth="1"/>
    <col min="12039" max="12039" width="3.5703125" style="11" customWidth="1"/>
    <col min="12040" max="12040" width="5.140625" style="11" customWidth="1"/>
    <col min="12041" max="12041" width="5.42578125" style="11" customWidth="1"/>
    <col min="12042" max="12042" width="9.140625" style="11"/>
    <col min="12043" max="12043" width="17.140625" style="11" customWidth="1"/>
    <col min="12044" max="12044" width="9.140625" style="11"/>
    <col min="12045" max="12045" width="9" style="11" customWidth="1"/>
    <col min="12046" max="12288" width="9.140625" style="11"/>
    <col min="12289" max="12292" width="7.42578125" style="11" customWidth="1"/>
    <col min="12293" max="12293" width="9.140625" style="11"/>
    <col min="12294" max="12294" width="5.5703125" style="11" customWidth="1"/>
    <col min="12295" max="12295" width="3.5703125" style="11" customWidth="1"/>
    <col min="12296" max="12296" width="5.140625" style="11" customWidth="1"/>
    <col min="12297" max="12297" width="5.42578125" style="11" customWidth="1"/>
    <col min="12298" max="12298" width="9.140625" style="11"/>
    <col min="12299" max="12299" width="17.140625" style="11" customWidth="1"/>
    <col min="12300" max="12300" width="9.140625" style="11"/>
    <col min="12301" max="12301" width="9" style="11" customWidth="1"/>
    <col min="12302" max="12544" width="9.140625" style="11"/>
    <col min="12545" max="12548" width="7.42578125" style="11" customWidth="1"/>
    <col min="12549" max="12549" width="9.140625" style="11"/>
    <col min="12550" max="12550" width="5.5703125" style="11" customWidth="1"/>
    <col min="12551" max="12551" width="3.5703125" style="11" customWidth="1"/>
    <col min="12552" max="12552" width="5.140625" style="11" customWidth="1"/>
    <col min="12553" max="12553" width="5.42578125" style="11" customWidth="1"/>
    <col min="12554" max="12554" width="9.140625" style="11"/>
    <col min="12555" max="12555" width="17.140625" style="11" customWidth="1"/>
    <col min="12556" max="12556" width="9.140625" style="11"/>
    <col min="12557" max="12557" width="9" style="11" customWidth="1"/>
    <col min="12558" max="12800" width="9.140625" style="11"/>
    <col min="12801" max="12804" width="7.42578125" style="11" customWidth="1"/>
    <col min="12805" max="12805" width="9.140625" style="11"/>
    <col min="12806" max="12806" width="5.5703125" style="11" customWidth="1"/>
    <col min="12807" max="12807" width="3.5703125" style="11" customWidth="1"/>
    <col min="12808" max="12808" width="5.140625" style="11" customWidth="1"/>
    <col min="12809" max="12809" width="5.42578125" style="11" customWidth="1"/>
    <col min="12810" max="12810" width="9.140625" style="11"/>
    <col min="12811" max="12811" width="17.140625" style="11" customWidth="1"/>
    <col min="12812" max="12812" width="9.140625" style="11"/>
    <col min="12813" max="12813" width="9" style="11" customWidth="1"/>
    <col min="12814" max="13056" width="9.140625" style="11"/>
    <col min="13057" max="13060" width="7.42578125" style="11" customWidth="1"/>
    <col min="13061" max="13061" width="9.140625" style="11"/>
    <col min="13062" max="13062" width="5.5703125" style="11" customWidth="1"/>
    <col min="13063" max="13063" width="3.5703125" style="11" customWidth="1"/>
    <col min="13064" max="13064" width="5.140625" style="11" customWidth="1"/>
    <col min="13065" max="13065" width="5.42578125" style="11" customWidth="1"/>
    <col min="13066" max="13066" width="9.140625" style="11"/>
    <col min="13067" max="13067" width="17.140625" style="11" customWidth="1"/>
    <col min="13068" max="13068" width="9.140625" style="11"/>
    <col min="13069" max="13069" width="9" style="11" customWidth="1"/>
    <col min="13070" max="13312" width="9.140625" style="11"/>
    <col min="13313" max="13316" width="7.42578125" style="11" customWidth="1"/>
    <col min="13317" max="13317" width="9.140625" style="11"/>
    <col min="13318" max="13318" width="5.5703125" style="11" customWidth="1"/>
    <col min="13319" max="13319" width="3.5703125" style="11" customWidth="1"/>
    <col min="13320" max="13320" width="5.140625" style="11" customWidth="1"/>
    <col min="13321" max="13321" width="5.42578125" style="11" customWidth="1"/>
    <col min="13322" max="13322" width="9.140625" style="11"/>
    <col min="13323" max="13323" width="17.140625" style="11" customWidth="1"/>
    <col min="13324" max="13324" width="9.140625" style="11"/>
    <col min="13325" max="13325" width="9" style="11" customWidth="1"/>
    <col min="13326" max="13568" width="9.140625" style="11"/>
    <col min="13569" max="13572" width="7.42578125" style="11" customWidth="1"/>
    <col min="13573" max="13573" width="9.140625" style="11"/>
    <col min="13574" max="13574" width="5.5703125" style="11" customWidth="1"/>
    <col min="13575" max="13575" width="3.5703125" style="11" customWidth="1"/>
    <col min="13576" max="13576" width="5.140625" style="11" customWidth="1"/>
    <col min="13577" max="13577" width="5.42578125" style="11" customWidth="1"/>
    <col min="13578" max="13578" width="9.140625" style="11"/>
    <col min="13579" max="13579" width="17.140625" style="11" customWidth="1"/>
    <col min="13580" max="13580" width="9.140625" style="11"/>
    <col min="13581" max="13581" width="9" style="11" customWidth="1"/>
    <col min="13582" max="13824" width="9.140625" style="11"/>
    <col min="13825" max="13828" width="7.42578125" style="11" customWidth="1"/>
    <col min="13829" max="13829" width="9.140625" style="11"/>
    <col min="13830" max="13830" width="5.5703125" style="11" customWidth="1"/>
    <col min="13831" max="13831" width="3.5703125" style="11" customWidth="1"/>
    <col min="13832" max="13832" width="5.140625" style="11" customWidth="1"/>
    <col min="13833" max="13833" width="5.42578125" style="11" customWidth="1"/>
    <col min="13834" max="13834" width="9.140625" style="11"/>
    <col min="13835" max="13835" width="17.140625" style="11" customWidth="1"/>
    <col min="13836" max="13836" width="9.140625" style="11"/>
    <col min="13837" max="13837" width="9" style="11" customWidth="1"/>
    <col min="13838" max="14080" width="9.140625" style="11"/>
    <col min="14081" max="14084" width="7.42578125" style="11" customWidth="1"/>
    <col min="14085" max="14085" width="9.140625" style="11"/>
    <col min="14086" max="14086" width="5.5703125" style="11" customWidth="1"/>
    <col min="14087" max="14087" width="3.5703125" style="11" customWidth="1"/>
    <col min="14088" max="14088" width="5.140625" style="11" customWidth="1"/>
    <col min="14089" max="14089" width="5.42578125" style="11" customWidth="1"/>
    <col min="14090" max="14090" width="9.140625" style="11"/>
    <col min="14091" max="14091" width="17.140625" style="11" customWidth="1"/>
    <col min="14092" max="14092" width="9.140625" style="11"/>
    <col min="14093" max="14093" width="9" style="11" customWidth="1"/>
    <col min="14094" max="14336" width="9.140625" style="11"/>
    <col min="14337" max="14340" width="7.42578125" style="11" customWidth="1"/>
    <col min="14341" max="14341" width="9.140625" style="11"/>
    <col min="14342" max="14342" width="5.5703125" style="11" customWidth="1"/>
    <col min="14343" max="14343" width="3.5703125" style="11" customWidth="1"/>
    <col min="14344" max="14344" width="5.140625" style="11" customWidth="1"/>
    <col min="14345" max="14345" width="5.42578125" style="11" customWidth="1"/>
    <col min="14346" max="14346" width="9.140625" style="11"/>
    <col min="14347" max="14347" width="17.140625" style="11" customWidth="1"/>
    <col min="14348" max="14348" width="9.140625" style="11"/>
    <col min="14349" max="14349" width="9" style="11" customWidth="1"/>
    <col min="14350" max="14592" width="9.140625" style="11"/>
    <col min="14593" max="14596" width="7.42578125" style="11" customWidth="1"/>
    <col min="14597" max="14597" width="9.140625" style="11"/>
    <col min="14598" max="14598" width="5.5703125" style="11" customWidth="1"/>
    <col min="14599" max="14599" width="3.5703125" style="11" customWidth="1"/>
    <col min="14600" max="14600" width="5.140625" style="11" customWidth="1"/>
    <col min="14601" max="14601" width="5.42578125" style="11" customWidth="1"/>
    <col min="14602" max="14602" width="9.140625" style="11"/>
    <col min="14603" max="14603" width="17.140625" style="11" customWidth="1"/>
    <col min="14604" max="14604" width="9.140625" style="11"/>
    <col min="14605" max="14605" width="9" style="11" customWidth="1"/>
    <col min="14606" max="14848" width="9.140625" style="11"/>
    <col min="14849" max="14852" width="7.42578125" style="11" customWidth="1"/>
    <col min="14853" max="14853" width="9.140625" style="11"/>
    <col min="14854" max="14854" width="5.5703125" style="11" customWidth="1"/>
    <col min="14855" max="14855" width="3.5703125" style="11" customWidth="1"/>
    <col min="14856" max="14856" width="5.140625" style="11" customWidth="1"/>
    <col min="14857" max="14857" width="5.42578125" style="11" customWidth="1"/>
    <col min="14858" max="14858" width="9.140625" style="11"/>
    <col min="14859" max="14859" width="17.140625" style="11" customWidth="1"/>
    <col min="14860" max="14860" width="9.140625" style="11"/>
    <col min="14861" max="14861" width="9" style="11" customWidth="1"/>
    <col min="14862" max="15104" width="9.140625" style="11"/>
    <col min="15105" max="15108" width="7.42578125" style="11" customWidth="1"/>
    <col min="15109" max="15109" width="9.140625" style="11"/>
    <col min="15110" max="15110" width="5.5703125" style="11" customWidth="1"/>
    <col min="15111" max="15111" width="3.5703125" style="11" customWidth="1"/>
    <col min="15112" max="15112" width="5.140625" style="11" customWidth="1"/>
    <col min="15113" max="15113" width="5.42578125" style="11" customWidth="1"/>
    <col min="15114" max="15114" width="9.140625" style="11"/>
    <col min="15115" max="15115" width="17.140625" style="11" customWidth="1"/>
    <col min="15116" max="15116" width="9.140625" style="11"/>
    <col min="15117" max="15117" width="9" style="11" customWidth="1"/>
    <col min="15118" max="15360" width="9.140625" style="11"/>
    <col min="15361" max="15364" width="7.42578125" style="11" customWidth="1"/>
    <col min="15365" max="15365" width="9.140625" style="11"/>
    <col min="15366" max="15366" width="5.5703125" style="11" customWidth="1"/>
    <col min="15367" max="15367" width="3.5703125" style="11" customWidth="1"/>
    <col min="15368" max="15368" width="5.140625" style="11" customWidth="1"/>
    <col min="15369" max="15369" width="5.42578125" style="11" customWidth="1"/>
    <col min="15370" max="15370" width="9.140625" style="11"/>
    <col min="15371" max="15371" width="17.140625" style="11" customWidth="1"/>
    <col min="15372" max="15372" width="9.140625" style="11"/>
    <col min="15373" max="15373" width="9" style="11" customWidth="1"/>
    <col min="15374" max="15616" width="9.140625" style="11"/>
    <col min="15617" max="15620" width="7.42578125" style="11" customWidth="1"/>
    <col min="15621" max="15621" width="9.140625" style="11"/>
    <col min="15622" max="15622" width="5.5703125" style="11" customWidth="1"/>
    <col min="15623" max="15623" width="3.5703125" style="11" customWidth="1"/>
    <col min="15624" max="15624" width="5.140625" style="11" customWidth="1"/>
    <col min="15625" max="15625" width="5.42578125" style="11" customWidth="1"/>
    <col min="15626" max="15626" width="9.140625" style="11"/>
    <col min="15627" max="15627" width="17.140625" style="11" customWidth="1"/>
    <col min="15628" max="15628" width="9.140625" style="11"/>
    <col min="15629" max="15629" width="9" style="11" customWidth="1"/>
    <col min="15630" max="15872" width="9.140625" style="11"/>
    <col min="15873" max="15876" width="7.42578125" style="11" customWidth="1"/>
    <col min="15877" max="15877" width="9.140625" style="11"/>
    <col min="15878" max="15878" width="5.5703125" style="11" customWidth="1"/>
    <col min="15879" max="15879" width="3.5703125" style="11" customWidth="1"/>
    <col min="15880" max="15880" width="5.140625" style="11" customWidth="1"/>
    <col min="15881" max="15881" width="5.42578125" style="11" customWidth="1"/>
    <col min="15882" max="15882" width="9.140625" style="11"/>
    <col min="15883" max="15883" width="17.140625" style="11" customWidth="1"/>
    <col min="15884" max="15884" width="9.140625" style="11"/>
    <col min="15885" max="15885" width="9" style="11" customWidth="1"/>
    <col min="15886" max="16128" width="9.140625" style="11"/>
    <col min="16129" max="16132" width="7.42578125" style="11" customWidth="1"/>
    <col min="16133" max="16133" width="9.140625" style="11"/>
    <col min="16134" max="16134" width="5.5703125" style="11" customWidth="1"/>
    <col min="16135" max="16135" width="3.5703125" style="11" customWidth="1"/>
    <col min="16136" max="16136" width="5.140625" style="11" customWidth="1"/>
    <col min="16137" max="16137" width="5.42578125" style="11" customWidth="1"/>
    <col min="16138" max="16138" width="9.140625" style="11"/>
    <col min="16139" max="16139" width="17.140625" style="11" customWidth="1"/>
    <col min="16140" max="16140" width="9.140625" style="11"/>
    <col min="16141" max="16141" width="9" style="11" customWidth="1"/>
    <col min="16142" max="16384" width="9.140625" style="11"/>
  </cols>
  <sheetData>
    <row r="1" spans="1:13" ht="18.75" thickBot="1" x14ac:dyDescent="0.3">
      <c r="A1" s="270" t="s">
        <v>237</v>
      </c>
      <c r="B1" s="271"/>
      <c r="C1" s="272" t="s">
        <v>57</v>
      </c>
      <c r="D1" s="272"/>
      <c r="E1" s="272"/>
      <c r="F1" s="272"/>
      <c r="G1" s="272"/>
      <c r="H1" s="272"/>
      <c r="I1" s="272"/>
      <c r="J1" s="272"/>
      <c r="K1" s="272"/>
      <c r="L1" s="273" t="s">
        <v>63</v>
      </c>
      <c r="M1" s="274"/>
    </row>
    <row r="2" spans="1:13" x14ac:dyDescent="0.2">
      <c r="A2" s="205" t="s">
        <v>27</v>
      </c>
      <c r="B2" s="206"/>
      <c r="C2" s="206"/>
      <c r="D2" s="206"/>
      <c r="E2" s="206"/>
      <c r="F2" s="206"/>
      <c r="G2" s="206"/>
      <c r="H2" s="206"/>
      <c r="I2" s="206"/>
      <c r="J2" s="206"/>
      <c r="K2" s="206"/>
      <c r="L2" s="206"/>
      <c r="M2" s="207"/>
    </row>
    <row r="3" spans="1:13" ht="12" customHeight="1" x14ac:dyDescent="0.2">
      <c r="A3" s="218" t="s">
        <v>23</v>
      </c>
      <c r="B3" s="219"/>
      <c r="C3" s="219"/>
      <c r="D3" s="219"/>
      <c r="E3" s="219" t="s">
        <v>28</v>
      </c>
      <c r="F3" s="219" t="s">
        <v>10</v>
      </c>
      <c r="G3" s="219"/>
      <c r="H3" s="220" t="s">
        <v>29</v>
      </c>
      <c r="I3" s="221"/>
      <c r="J3" s="222" t="s">
        <v>31</v>
      </c>
      <c r="K3" s="223"/>
      <c r="L3" s="223"/>
      <c r="M3" s="224"/>
    </row>
    <row r="4" spans="1:13" ht="9.75" customHeight="1" x14ac:dyDescent="0.2">
      <c r="A4" s="218"/>
      <c r="B4" s="219"/>
      <c r="C4" s="219"/>
      <c r="D4" s="219"/>
      <c r="E4" s="219"/>
      <c r="F4" s="219"/>
      <c r="G4" s="219"/>
      <c r="H4" s="228" t="s">
        <v>30</v>
      </c>
      <c r="I4" s="229"/>
      <c r="J4" s="225"/>
      <c r="K4" s="226"/>
      <c r="L4" s="226"/>
      <c r="M4" s="227"/>
    </row>
    <row r="5" spans="1:13" x14ac:dyDescent="0.2">
      <c r="A5" s="298"/>
      <c r="B5" s="214"/>
      <c r="C5" s="214"/>
      <c r="D5" s="214"/>
      <c r="E5" s="10">
        <v>61</v>
      </c>
      <c r="F5" s="369">
        <v>61</v>
      </c>
      <c r="G5" s="371"/>
      <c r="H5" s="14" t="s">
        <v>54</v>
      </c>
      <c r="I5" s="14" t="s">
        <v>55</v>
      </c>
      <c r="J5" s="202"/>
      <c r="K5" s="202"/>
      <c r="L5" s="202"/>
      <c r="M5" s="217"/>
    </row>
    <row r="6" spans="1:13" x14ac:dyDescent="0.2">
      <c r="A6" s="298"/>
      <c r="B6" s="214"/>
      <c r="C6" s="214"/>
      <c r="D6" s="214"/>
      <c r="E6" s="10">
        <v>83</v>
      </c>
      <c r="F6" s="369">
        <v>83</v>
      </c>
      <c r="G6" s="371"/>
      <c r="H6" s="14" t="s">
        <v>54</v>
      </c>
      <c r="I6" s="14" t="s">
        <v>55</v>
      </c>
      <c r="J6" s="202"/>
      <c r="K6" s="202"/>
      <c r="L6" s="202"/>
      <c r="M6" s="217"/>
    </row>
    <row r="7" spans="1:13" x14ac:dyDescent="0.2">
      <c r="A7" s="298"/>
      <c r="B7" s="214"/>
      <c r="C7" s="214"/>
      <c r="D7" s="214"/>
      <c r="E7" s="10">
        <v>70</v>
      </c>
      <c r="F7" s="369">
        <v>70</v>
      </c>
      <c r="G7" s="371"/>
      <c r="H7" s="14" t="s">
        <v>54</v>
      </c>
      <c r="I7" s="14" t="s">
        <v>55</v>
      </c>
      <c r="J7" s="202"/>
      <c r="K7" s="202"/>
      <c r="L7" s="202"/>
      <c r="M7" s="217"/>
    </row>
    <row r="8" spans="1:13" x14ac:dyDescent="0.2">
      <c r="A8" s="298"/>
      <c r="B8" s="214"/>
      <c r="C8" s="214"/>
      <c r="D8" s="214"/>
      <c r="E8" s="10">
        <v>50</v>
      </c>
      <c r="F8" s="369">
        <v>50</v>
      </c>
      <c r="G8" s="371"/>
      <c r="H8" s="14" t="s">
        <v>54</v>
      </c>
      <c r="I8" s="14" t="s">
        <v>55</v>
      </c>
      <c r="J8" s="202"/>
      <c r="K8" s="202"/>
      <c r="L8" s="202"/>
      <c r="M8" s="217"/>
    </row>
    <row r="9" spans="1:13" x14ac:dyDescent="0.2">
      <c r="A9" s="298"/>
      <c r="B9" s="214"/>
      <c r="C9" s="214"/>
      <c r="D9" s="214"/>
      <c r="E9" s="10">
        <v>70</v>
      </c>
      <c r="F9" s="369">
        <v>70</v>
      </c>
      <c r="G9" s="371"/>
      <c r="H9" s="14" t="s">
        <v>54</v>
      </c>
      <c r="I9" s="14" t="s">
        <v>55</v>
      </c>
      <c r="J9" s="202"/>
      <c r="K9" s="202"/>
      <c r="L9" s="202"/>
      <c r="M9" s="217"/>
    </row>
    <row r="10" spans="1:13" x14ac:dyDescent="0.2">
      <c r="A10" s="298"/>
      <c r="B10" s="214"/>
      <c r="C10" s="214"/>
      <c r="D10" s="214"/>
      <c r="E10" s="10">
        <v>69</v>
      </c>
      <c r="F10" s="369">
        <v>69</v>
      </c>
      <c r="G10" s="371"/>
      <c r="H10" s="14" t="s">
        <v>54</v>
      </c>
      <c r="I10" s="14" t="s">
        <v>55</v>
      </c>
      <c r="J10" s="202"/>
      <c r="K10" s="202"/>
      <c r="L10" s="202"/>
      <c r="M10" s="217"/>
    </row>
    <row r="11" spans="1:13" x14ac:dyDescent="0.2">
      <c r="A11" s="298"/>
      <c r="B11" s="214"/>
      <c r="C11" s="214"/>
      <c r="D11" s="214"/>
      <c r="E11" s="10">
        <v>54</v>
      </c>
      <c r="F11" s="369">
        <v>54</v>
      </c>
      <c r="G11" s="371"/>
      <c r="H11" s="14" t="s">
        <v>54</v>
      </c>
      <c r="I11" s="14" t="s">
        <v>55</v>
      </c>
      <c r="J11" s="202"/>
      <c r="K11" s="202"/>
      <c r="L11" s="202"/>
      <c r="M11" s="217"/>
    </row>
    <row r="12" spans="1:13" x14ac:dyDescent="0.2">
      <c r="A12" s="298"/>
      <c r="B12" s="214"/>
      <c r="C12" s="214"/>
      <c r="D12" s="214"/>
      <c r="E12" s="10">
        <v>65</v>
      </c>
      <c r="F12" s="369">
        <v>65</v>
      </c>
      <c r="G12" s="371"/>
      <c r="H12" s="14" t="s">
        <v>54</v>
      </c>
      <c r="I12" s="14" t="s">
        <v>55</v>
      </c>
      <c r="J12" s="202"/>
      <c r="K12" s="202"/>
      <c r="L12" s="202"/>
      <c r="M12" s="217"/>
    </row>
    <row r="13" spans="1:13" x14ac:dyDescent="0.2">
      <c r="A13" s="298"/>
      <c r="B13" s="214"/>
      <c r="C13" s="214"/>
      <c r="D13" s="214"/>
      <c r="E13" s="10">
        <v>65</v>
      </c>
      <c r="F13" s="369">
        <v>65</v>
      </c>
      <c r="G13" s="371"/>
      <c r="H13" s="14" t="s">
        <v>54</v>
      </c>
      <c r="I13" s="14" t="s">
        <v>55</v>
      </c>
      <c r="J13" s="202"/>
      <c r="K13" s="202"/>
      <c r="L13" s="202"/>
      <c r="M13" s="217"/>
    </row>
    <row r="14" spans="1:13" x14ac:dyDescent="0.2">
      <c r="A14" s="298"/>
      <c r="B14" s="214"/>
      <c r="C14" s="214"/>
      <c r="D14" s="214"/>
      <c r="E14" s="10">
        <v>70</v>
      </c>
      <c r="F14" s="369">
        <v>70</v>
      </c>
      <c r="G14" s="371"/>
      <c r="H14" s="14" t="s">
        <v>54</v>
      </c>
      <c r="I14" s="14" t="s">
        <v>55</v>
      </c>
      <c r="J14" s="202"/>
      <c r="K14" s="202"/>
      <c r="L14" s="202"/>
      <c r="M14" s="217"/>
    </row>
    <row r="15" spans="1:13" x14ac:dyDescent="0.2">
      <c r="A15" s="298"/>
      <c r="B15" s="214"/>
      <c r="C15" s="214"/>
      <c r="D15" s="214"/>
      <c r="E15" s="10">
        <v>55</v>
      </c>
      <c r="F15" s="369">
        <v>55</v>
      </c>
      <c r="G15" s="371"/>
      <c r="H15" s="14" t="s">
        <v>54</v>
      </c>
      <c r="I15" s="14" t="s">
        <v>55</v>
      </c>
      <c r="J15" s="202"/>
      <c r="K15" s="202"/>
      <c r="L15" s="202"/>
      <c r="M15" s="217"/>
    </row>
    <row r="16" spans="1:13" x14ac:dyDescent="0.2">
      <c r="A16" s="298"/>
      <c r="B16" s="214"/>
      <c r="C16" s="214"/>
      <c r="D16" s="214"/>
      <c r="E16" s="10">
        <v>54</v>
      </c>
      <c r="F16" s="369">
        <v>54</v>
      </c>
      <c r="G16" s="371"/>
      <c r="H16" s="14" t="s">
        <v>54</v>
      </c>
      <c r="I16" s="14" t="s">
        <v>55</v>
      </c>
      <c r="J16" s="202"/>
      <c r="K16" s="202"/>
      <c r="L16" s="202"/>
      <c r="M16" s="217"/>
    </row>
    <row r="17" spans="1:13" x14ac:dyDescent="0.2">
      <c r="A17" s="298"/>
      <c r="B17" s="214"/>
      <c r="C17" s="214"/>
      <c r="D17" s="214"/>
      <c r="E17" s="10">
        <v>76</v>
      </c>
      <c r="F17" s="369">
        <v>76</v>
      </c>
      <c r="G17" s="371"/>
      <c r="H17" s="14" t="s">
        <v>54</v>
      </c>
      <c r="I17" s="14" t="s">
        <v>55</v>
      </c>
      <c r="J17" s="202"/>
      <c r="K17" s="202"/>
      <c r="L17" s="202"/>
      <c r="M17" s="217"/>
    </row>
    <row r="18" spans="1:13" x14ac:dyDescent="0.2">
      <c r="A18" s="298"/>
      <c r="B18" s="214"/>
      <c r="C18" s="214"/>
      <c r="D18" s="214"/>
      <c r="E18" s="10">
        <v>76</v>
      </c>
      <c r="F18" s="369">
        <v>76</v>
      </c>
      <c r="G18" s="371"/>
      <c r="H18" s="14" t="s">
        <v>54</v>
      </c>
      <c r="I18" s="14" t="s">
        <v>55</v>
      </c>
      <c r="J18" s="202"/>
      <c r="K18" s="202"/>
      <c r="L18" s="202"/>
      <c r="M18" s="217"/>
    </row>
    <row r="19" spans="1:13" x14ac:dyDescent="0.2">
      <c r="A19" s="298"/>
      <c r="B19" s="214"/>
      <c r="C19" s="214"/>
      <c r="D19" s="214"/>
      <c r="E19" s="10">
        <v>65</v>
      </c>
      <c r="F19" s="369">
        <v>65</v>
      </c>
      <c r="G19" s="371"/>
      <c r="H19" s="14" t="s">
        <v>54</v>
      </c>
      <c r="I19" s="14" t="s">
        <v>55</v>
      </c>
      <c r="J19" s="202"/>
      <c r="K19" s="202"/>
      <c r="L19" s="202"/>
      <c r="M19" s="217"/>
    </row>
    <row r="20" spans="1:13" x14ac:dyDescent="0.2">
      <c r="A20" s="298"/>
      <c r="B20" s="214"/>
      <c r="C20" s="214"/>
      <c r="D20" s="214"/>
      <c r="E20" s="10">
        <v>56</v>
      </c>
      <c r="F20" s="369">
        <v>56</v>
      </c>
      <c r="G20" s="371"/>
      <c r="H20" s="14" t="s">
        <v>54</v>
      </c>
      <c r="I20" s="14" t="s">
        <v>55</v>
      </c>
      <c r="J20" s="202"/>
      <c r="K20" s="202"/>
      <c r="L20" s="202"/>
      <c r="M20" s="217"/>
    </row>
    <row r="21" spans="1:13" x14ac:dyDescent="0.2">
      <c r="A21" s="298"/>
      <c r="B21" s="214"/>
      <c r="C21" s="214"/>
      <c r="D21" s="214"/>
      <c r="E21" s="10">
        <v>83</v>
      </c>
      <c r="F21" s="369">
        <v>83</v>
      </c>
      <c r="G21" s="371"/>
      <c r="H21" s="14" t="s">
        <v>54</v>
      </c>
      <c r="I21" s="14" t="s">
        <v>55</v>
      </c>
      <c r="J21" s="202"/>
      <c r="K21" s="202"/>
      <c r="L21" s="202"/>
      <c r="M21" s="217"/>
    </row>
    <row r="22" spans="1:13" x14ac:dyDescent="0.2">
      <c r="A22" s="298"/>
      <c r="B22" s="214"/>
      <c r="C22" s="214"/>
      <c r="D22" s="214"/>
      <c r="E22" s="10">
        <v>27</v>
      </c>
      <c r="F22" s="369">
        <v>27</v>
      </c>
      <c r="G22" s="371"/>
      <c r="H22" s="14" t="s">
        <v>54</v>
      </c>
      <c r="I22" s="14" t="s">
        <v>55</v>
      </c>
      <c r="J22" s="202"/>
      <c r="K22" s="202"/>
      <c r="L22" s="202"/>
      <c r="M22" s="217"/>
    </row>
    <row r="23" spans="1:13" x14ac:dyDescent="0.2">
      <c r="A23" s="298"/>
      <c r="B23" s="214"/>
      <c r="C23" s="214"/>
      <c r="D23" s="214"/>
      <c r="E23" s="10">
        <v>16</v>
      </c>
      <c r="F23" s="369">
        <v>16</v>
      </c>
      <c r="G23" s="371"/>
      <c r="H23" s="14" t="s">
        <v>54</v>
      </c>
      <c r="I23" s="14" t="s">
        <v>55</v>
      </c>
      <c r="J23" s="202"/>
      <c r="K23" s="202"/>
      <c r="L23" s="202"/>
      <c r="M23" s="217"/>
    </row>
    <row r="24" spans="1:13" x14ac:dyDescent="0.2">
      <c r="A24" s="298"/>
      <c r="B24" s="214"/>
      <c r="C24" s="214"/>
      <c r="D24" s="214"/>
      <c r="E24" s="10">
        <v>26</v>
      </c>
      <c r="F24" s="369">
        <v>26</v>
      </c>
      <c r="G24" s="371"/>
      <c r="H24" s="14" t="s">
        <v>54</v>
      </c>
      <c r="I24" s="14" t="s">
        <v>55</v>
      </c>
      <c r="J24" s="202"/>
      <c r="K24" s="202"/>
      <c r="L24" s="202"/>
      <c r="M24" s="217"/>
    </row>
    <row r="25" spans="1:13" x14ac:dyDescent="0.2">
      <c r="A25" s="298"/>
      <c r="B25" s="214"/>
      <c r="C25" s="214"/>
      <c r="D25" s="214"/>
      <c r="E25" s="10">
        <v>16</v>
      </c>
      <c r="F25" s="369">
        <v>16</v>
      </c>
      <c r="G25" s="371"/>
      <c r="H25" s="14" t="s">
        <v>54</v>
      </c>
      <c r="I25" s="14" t="s">
        <v>55</v>
      </c>
      <c r="J25" s="202"/>
      <c r="K25" s="202"/>
      <c r="L25" s="202"/>
      <c r="M25" s="217"/>
    </row>
    <row r="26" spans="1:13" x14ac:dyDescent="0.2">
      <c r="A26" s="293"/>
      <c r="B26" s="294"/>
      <c r="C26" s="294"/>
      <c r="D26" s="294"/>
      <c r="E26" s="15"/>
      <c r="F26" s="202"/>
      <c r="G26" s="202"/>
      <c r="H26" s="15"/>
      <c r="I26" s="15"/>
      <c r="J26" s="202"/>
      <c r="K26" s="202"/>
      <c r="L26" s="202"/>
      <c r="M26" s="217"/>
    </row>
    <row r="27" spans="1:13" x14ac:dyDescent="0.2">
      <c r="A27" s="293"/>
      <c r="B27" s="294"/>
      <c r="C27" s="294"/>
      <c r="D27" s="294"/>
      <c r="E27" s="15"/>
      <c r="F27" s="202"/>
      <c r="G27" s="202"/>
      <c r="H27" s="15"/>
      <c r="I27" s="15"/>
      <c r="J27" s="202"/>
      <c r="K27" s="202"/>
      <c r="L27" s="202"/>
      <c r="M27" s="217"/>
    </row>
    <row r="28" spans="1:13" x14ac:dyDescent="0.2">
      <c r="A28" s="293"/>
      <c r="B28" s="294"/>
      <c r="C28" s="294"/>
      <c r="D28" s="294"/>
      <c r="E28" s="15"/>
      <c r="F28" s="202"/>
      <c r="G28" s="202"/>
      <c r="H28" s="15"/>
      <c r="I28" s="15"/>
      <c r="J28" s="202"/>
      <c r="K28" s="202"/>
      <c r="L28" s="202"/>
      <c r="M28" s="217"/>
    </row>
    <row r="29" spans="1:13" x14ac:dyDescent="0.2">
      <c r="A29" s="293"/>
      <c r="B29" s="294"/>
      <c r="C29" s="294"/>
      <c r="D29" s="294"/>
      <c r="E29" s="15"/>
      <c r="F29" s="202"/>
      <c r="G29" s="202"/>
      <c r="H29" s="15"/>
      <c r="I29" s="15"/>
      <c r="J29" s="202"/>
      <c r="K29" s="202"/>
      <c r="L29" s="202"/>
      <c r="M29" s="217"/>
    </row>
    <row r="30" spans="1:13" x14ac:dyDescent="0.2">
      <c r="A30" s="293"/>
      <c r="B30" s="294"/>
      <c r="C30" s="294"/>
      <c r="D30" s="294"/>
      <c r="E30" s="15"/>
      <c r="F30" s="202"/>
      <c r="G30" s="202"/>
      <c r="H30" s="15"/>
      <c r="I30" s="15"/>
      <c r="J30" s="202"/>
      <c r="K30" s="202"/>
      <c r="L30" s="202"/>
      <c r="M30" s="217"/>
    </row>
    <row r="31" spans="1:13" x14ac:dyDescent="0.2">
      <c r="A31" s="293"/>
      <c r="B31" s="294"/>
      <c r="C31" s="294"/>
      <c r="D31" s="294"/>
      <c r="E31" s="15"/>
      <c r="F31" s="202"/>
      <c r="G31" s="202"/>
      <c r="H31" s="15"/>
      <c r="I31" s="15"/>
      <c r="J31" s="202"/>
      <c r="K31" s="202"/>
      <c r="L31" s="202"/>
      <c r="M31" s="217"/>
    </row>
    <row r="32" spans="1:13" x14ac:dyDescent="0.2">
      <c r="A32" s="293"/>
      <c r="B32" s="294"/>
      <c r="C32" s="294"/>
      <c r="D32" s="294"/>
      <c r="E32" s="15"/>
      <c r="F32" s="202"/>
      <c r="G32" s="202"/>
      <c r="H32" s="15"/>
      <c r="I32" s="15"/>
      <c r="J32" s="202"/>
      <c r="K32" s="202"/>
      <c r="L32" s="202"/>
      <c r="M32" s="217"/>
    </row>
    <row r="33" spans="1:13" x14ac:dyDescent="0.2">
      <c r="A33" s="293"/>
      <c r="B33" s="294"/>
      <c r="C33" s="294"/>
      <c r="D33" s="294"/>
      <c r="E33" s="15"/>
      <c r="F33" s="202"/>
      <c r="G33" s="202"/>
      <c r="H33" s="15"/>
      <c r="I33" s="15"/>
      <c r="J33" s="202"/>
      <c r="K33" s="202"/>
      <c r="L33" s="202"/>
      <c r="M33" s="217"/>
    </row>
    <row r="34" spans="1:13" x14ac:dyDescent="0.2">
      <c r="A34" s="293"/>
      <c r="B34" s="294"/>
      <c r="C34" s="294"/>
      <c r="D34" s="294"/>
      <c r="E34" s="15"/>
      <c r="F34" s="202"/>
      <c r="G34" s="202"/>
      <c r="H34" s="15"/>
      <c r="I34" s="15"/>
      <c r="J34" s="202"/>
      <c r="K34" s="202"/>
      <c r="L34" s="202"/>
      <c r="M34" s="217"/>
    </row>
    <row r="35" spans="1:13" x14ac:dyDescent="0.2">
      <c r="A35" s="293"/>
      <c r="B35" s="294"/>
      <c r="C35" s="294"/>
      <c r="D35" s="294"/>
      <c r="E35" s="15"/>
      <c r="F35" s="202"/>
      <c r="G35" s="202"/>
      <c r="H35" s="15"/>
      <c r="I35" s="15"/>
      <c r="J35" s="202"/>
      <c r="K35" s="202"/>
      <c r="L35" s="202"/>
      <c r="M35" s="217"/>
    </row>
    <row r="36" spans="1:13" x14ac:dyDescent="0.2">
      <c r="A36" s="293"/>
      <c r="B36" s="294"/>
      <c r="C36" s="294"/>
      <c r="D36" s="294"/>
      <c r="E36" s="15"/>
      <c r="F36" s="202"/>
      <c r="G36" s="202"/>
      <c r="H36" s="15"/>
      <c r="I36" s="15"/>
      <c r="J36" s="202"/>
      <c r="K36" s="202"/>
      <c r="L36" s="202"/>
      <c r="M36" s="217"/>
    </row>
    <row r="37" spans="1:13" x14ac:dyDescent="0.2">
      <c r="A37" s="293"/>
      <c r="B37" s="294"/>
      <c r="C37" s="294"/>
      <c r="D37" s="294"/>
      <c r="E37" s="15"/>
      <c r="F37" s="202"/>
      <c r="G37" s="202"/>
      <c r="H37" s="15"/>
      <c r="I37" s="15"/>
      <c r="J37" s="202"/>
      <c r="K37" s="202"/>
      <c r="L37" s="202"/>
      <c r="M37" s="217"/>
    </row>
    <row r="38" spans="1:13" x14ac:dyDescent="0.2">
      <c r="A38" s="293"/>
      <c r="B38" s="294"/>
      <c r="C38" s="294"/>
      <c r="D38" s="294"/>
      <c r="E38" s="15"/>
      <c r="F38" s="202"/>
      <c r="G38" s="202"/>
      <c r="H38" s="15"/>
      <c r="I38" s="15"/>
      <c r="J38" s="202"/>
      <c r="K38" s="202"/>
      <c r="L38" s="202"/>
      <c r="M38" s="217"/>
    </row>
    <row r="39" spans="1:13" x14ac:dyDescent="0.2">
      <c r="A39" s="293"/>
      <c r="B39" s="294"/>
      <c r="C39" s="294"/>
      <c r="D39" s="294"/>
      <c r="E39" s="15"/>
      <c r="F39" s="202"/>
      <c r="G39" s="202"/>
      <c r="H39" s="15"/>
      <c r="I39" s="15"/>
      <c r="J39" s="202"/>
      <c r="K39" s="202"/>
      <c r="L39" s="202"/>
      <c r="M39" s="217"/>
    </row>
    <row r="40" spans="1:13" x14ac:dyDescent="0.2">
      <c r="A40" s="293"/>
      <c r="B40" s="294"/>
      <c r="C40" s="294"/>
      <c r="D40" s="294"/>
      <c r="E40" s="15"/>
      <c r="F40" s="202"/>
      <c r="G40" s="202"/>
      <c r="H40" s="15"/>
      <c r="I40" s="15"/>
      <c r="J40" s="202"/>
      <c r="K40" s="202"/>
      <c r="L40" s="202"/>
      <c r="M40" s="217"/>
    </row>
    <row r="41" spans="1:13" x14ac:dyDescent="0.2">
      <c r="A41" s="293"/>
      <c r="B41" s="294"/>
      <c r="C41" s="294"/>
      <c r="D41" s="294"/>
      <c r="E41" s="15"/>
      <c r="F41" s="202"/>
      <c r="G41" s="202"/>
      <c r="H41" s="15"/>
      <c r="I41" s="15"/>
      <c r="J41" s="202"/>
      <c r="K41" s="202"/>
      <c r="L41" s="202"/>
      <c r="M41" s="217"/>
    </row>
    <row r="42" spans="1:13" x14ac:dyDescent="0.2">
      <c r="A42" s="293"/>
      <c r="B42" s="294"/>
      <c r="C42" s="294"/>
      <c r="D42" s="294"/>
      <c r="E42" s="15"/>
      <c r="F42" s="202"/>
      <c r="G42" s="202"/>
      <c r="H42" s="15"/>
      <c r="I42" s="15"/>
      <c r="J42" s="202"/>
      <c r="K42" s="202"/>
      <c r="L42" s="202"/>
      <c r="M42" s="217"/>
    </row>
    <row r="43" spans="1:13" x14ac:dyDescent="0.2">
      <c r="A43" s="293"/>
      <c r="B43" s="294"/>
      <c r="C43" s="294"/>
      <c r="D43" s="294"/>
      <c r="E43" s="15"/>
      <c r="F43" s="202"/>
      <c r="G43" s="202"/>
      <c r="H43" s="15"/>
      <c r="I43" s="15"/>
      <c r="J43" s="202"/>
      <c r="K43" s="202"/>
      <c r="L43" s="202"/>
      <c r="M43" s="217"/>
    </row>
    <row r="44" spans="1:13" x14ac:dyDescent="0.2">
      <c r="A44" s="293"/>
      <c r="B44" s="294"/>
      <c r="C44" s="294"/>
      <c r="D44" s="294"/>
      <c r="E44" s="15"/>
      <c r="F44" s="202"/>
      <c r="G44" s="202"/>
      <c r="H44" s="15"/>
      <c r="I44" s="15"/>
      <c r="J44" s="202"/>
      <c r="K44" s="202"/>
      <c r="L44" s="202"/>
      <c r="M44" s="217"/>
    </row>
    <row r="45" spans="1:13" x14ac:dyDescent="0.2">
      <c r="A45" s="293"/>
      <c r="B45" s="294"/>
      <c r="C45" s="294"/>
      <c r="D45" s="294"/>
      <c r="E45" s="15"/>
      <c r="F45" s="202"/>
      <c r="G45" s="202"/>
      <c r="H45" s="15"/>
      <c r="I45" s="15"/>
      <c r="J45" s="202"/>
      <c r="K45" s="202"/>
      <c r="L45" s="202"/>
      <c r="M45" s="217"/>
    </row>
    <row r="46" spans="1:13" x14ac:dyDescent="0.2">
      <c r="A46" s="293"/>
      <c r="B46" s="294"/>
      <c r="C46" s="294"/>
      <c r="D46" s="294"/>
      <c r="E46" s="15"/>
      <c r="F46" s="202"/>
      <c r="G46" s="202"/>
      <c r="H46" s="15"/>
      <c r="I46" s="15"/>
      <c r="J46" s="202"/>
      <c r="K46" s="202"/>
      <c r="L46" s="202"/>
      <c r="M46" s="217"/>
    </row>
    <row r="47" spans="1:13" x14ac:dyDescent="0.2">
      <c r="A47" s="293"/>
      <c r="B47" s="294"/>
      <c r="C47" s="294"/>
      <c r="D47" s="294"/>
      <c r="E47" s="15"/>
      <c r="F47" s="202"/>
      <c r="G47" s="202"/>
      <c r="H47" s="15"/>
      <c r="I47" s="15"/>
      <c r="J47" s="202"/>
      <c r="K47" s="202"/>
      <c r="L47" s="202"/>
      <c r="M47" s="217"/>
    </row>
    <row r="48" spans="1:13" x14ac:dyDescent="0.2">
      <c r="A48" s="293"/>
      <c r="B48" s="294"/>
      <c r="C48" s="294"/>
      <c r="D48" s="294"/>
      <c r="E48" s="15"/>
      <c r="F48" s="202"/>
      <c r="G48" s="202"/>
      <c r="H48" s="15"/>
      <c r="I48" s="15"/>
      <c r="J48" s="202"/>
      <c r="K48" s="202"/>
      <c r="L48" s="202"/>
      <c r="M48" s="217"/>
    </row>
    <row r="49" spans="1:13" x14ac:dyDescent="0.2">
      <c r="A49" s="293"/>
      <c r="B49" s="294"/>
      <c r="C49" s="294"/>
      <c r="D49" s="294"/>
      <c r="E49" s="15"/>
      <c r="F49" s="202"/>
      <c r="G49" s="202"/>
      <c r="H49" s="15"/>
      <c r="I49" s="15"/>
      <c r="J49" s="202"/>
      <c r="K49" s="202"/>
      <c r="L49" s="202"/>
      <c r="M49" s="217"/>
    </row>
    <row r="50" spans="1:13" x14ac:dyDescent="0.2">
      <c r="A50" s="199" t="s">
        <v>22</v>
      </c>
      <c r="B50" s="200"/>
      <c r="C50" s="200"/>
      <c r="D50" s="200"/>
      <c r="E50" s="23">
        <f>SUM(E5:E25,'Master BOL'!E22:E29)</f>
        <v>1688</v>
      </c>
      <c r="F50" s="295">
        <f>SUM(F5:F25,'Master BOL'!F22:F29)</f>
        <v>1688</v>
      </c>
      <c r="G50" s="216"/>
      <c r="H50" s="50"/>
      <c r="I50" s="51"/>
      <c r="J50" s="296"/>
      <c r="K50" s="296"/>
      <c r="L50" s="296"/>
      <c r="M50" s="297"/>
    </row>
    <row r="51" spans="1:13" x14ac:dyDescent="0.2">
      <c r="A51" s="281" t="s">
        <v>58</v>
      </c>
      <c r="B51" s="282"/>
      <c r="C51" s="282"/>
      <c r="D51" s="282"/>
      <c r="E51" s="282"/>
      <c r="F51" s="282"/>
      <c r="G51" s="282"/>
      <c r="H51" s="282"/>
      <c r="I51" s="282"/>
      <c r="J51" s="282"/>
      <c r="K51" s="282"/>
      <c r="L51" s="282"/>
      <c r="M51" s="283"/>
    </row>
    <row r="52" spans="1:13" x14ac:dyDescent="0.2">
      <c r="A52" s="284"/>
      <c r="B52" s="285"/>
      <c r="C52" s="285"/>
      <c r="D52" s="285"/>
      <c r="E52" s="285"/>
      <c r="F52" s="285"/>
      <c r="G52" s="285"/>
      <c r="H52" s="285"/>
      <c r="I52" s="285"/>
      <c r="J52" s="285"/>
      <c r="K52" s="285"/>
      <c r="L52" s="285"/>
      <c r="M52" s="286"/>
    </row>
    <row r="53" spans="1:13" x14ac:dyDescent="0.2">
      <c r="A53" s="287"/>
      <c r="B53" s="288"/>
      <c r="C53" s="288"/>
      <c r="D53" s="288"/>
      <c r="E53" s="288"/>
      <c r="F53" s="288"/>
      <c r="G53" s="288"/>
      <c r="H53" s="288"/>
      <c r="I53" s="288"/>
      <c r="J53" s="288"/>
      <c r="K53" s="288"/>
      <c r="L53" s="288"/>
      <c r="M53" s="289"/>
    </row>
    <row r="54" spans="1:13" x14ac:dyDescent="0.2">
      <c r="A54" s="287"/>
      <c r="B54" s="288"/>
      <c r="C54" s="288"/>
      <c r="D54" s="288"/>
      <c r="E54" s="288"/>
      <c r="F54" s="288"/>
      <c r="G54" s="288"/>
      <c r="H54" s="288"/>
      <c r="I54" s="288"/>
      <c r="J54" s="288"/>
      <c r="K54" s="288"/>
      <c r="L54" s="288"/>
      <c r="M54" s="289"/>
    </row>
    <row r="55" spans="1:13" x14ac:dyDescent="0.2">
      <c r="A55" s="287"/>
      <c r="B55" s="288"/>
      <c r="C55" s="288"/>
      <c r="D55" s="288"/>
      <c r="E55" s="288"/>
      <c r="F55" s="288"/>
      <c r="G55" s="288"/>
      <c r="H55" s="288"/>
      <c r="I55" s="288"/>
      <c r="J55" s="288"/>
      <c r="K55" s="288"/>
      <c r="L55" s="288"/>
      <c r="M55" s="289"/>
    </row>
    <row r="56" spans="1:13" x14ac:dyDescent="0.2">
      <c r="A56" s="287"/>
      <c r="B56" s="288"/>
      <c r="C56" s="288"/>
      <c r="D56" s="288"/>
      <c r="E56" s="288"/>
      <c r="F56" s="288"/>
      <c r="G56" s="288"/>
      <c r="H56" s="288"/>
      <c r="I56" s="288"/>
      <c r="J56" s="288"/>
      <c r="K56" s="288"/>
      <c r="L56" s="288"/>
      <c r="M56" s="289"/>
    </row>
    <row r="57" spans="1:13" x14ac:dyDescent="0.2">
      <c r="A57" s="287"/>
      <c r="B57" s="288"/>
      <c r="C57" s="288"/>
      <c r="D57" s="288"/>
      <c r="E57" s="288"/>
      <c r="F57" s="288"/>
      <c r="G57" s="288"/>
      <c r="H57" s="288"/>
      <c r="I57" s="288"/>
      <c r="J57" s="288"/>
      <c r="K57" s="288"/>
      <c r="L57" s="288"/>
      <c r="M57" s="289"/>
    </row>
    <row r="58" spans="1:13" x14ac:dyDescent="0.2">
      <c r="A58" s="287"/>
      <c r="B58" s="288"/>
      <c r="C58" s="288"/>
      <c r="D58" s="288"/>
      <c r="E58" s="288"/>
      <c r="F58" s="288"/>
      <c r="G58" s="288"/>
      <c r="H58" s="288"/>
      <c r="I58" s="288"/>
      <c r="J58" s="288"/>
      <c r="K58" s="288"/>
      <c r="L58" s="288"/>
      <c r="M58" s="289"/>
    </row>
    <row r="59" spans="1:13" x14ac:dyDescent="0.2">
      <c r="A59" s="287"/>
      <c r="B59" s="288"/>
      <c r="C59" s="288"/>
      <c r="D59" s="288"/>
      <c r="E59" s="288"/>
      <c r="F59" s="288"/>
      <c r="G59" s="288"/>
      <c r="H59" s="288"/>
      <c r="I59" s="288"/>
      <c r="J59" s="288"/>
      <c r="K59" s="288"/>
      <c r="L59" s="288"/>
      <c r="M59" s="289"/>
    </row>
    <row r="60" spans="1:13" x14ac:dyDescent="0.2">
      <c r="A60" s="290"/>
      <c r="B60" s="291"/>
      <c r="C60" s="291"/>
      <c r="D60" s="291"/>
      <c r="E60" s="291"/>
      <c r="F60" s="291"/>
      <c r="G60" s="291"/>
      <c r="H60" s="291"/>
      <c r="I60" s="291"/>
      <c r="J60" s="291"/>
      <c r="K60" s="291"/>
      <c r="L60" s="291"/>
      <c r="M60" s="292"/>
    </row>
    <row r="61" spans="1:13" ht="26.25" customHeight="1" x14ac:dyDescent="0.2">
      <c r="A61" s="49"/>
      <c r="B61" s="49"/>
      <c r="C61" s="49"/>
      <c r="D61" s="49"/>
      <c r="E61" s="30"/>
      <c r="F61" s="30"/>
      <c r="G61" s="30"/>
      <c r="H61" s="28"/>
      <c r="I61" s="28"/>
      <c r="J61" s="28"/>
    </row>
  </sheetData>
  <mergeCells count="150">
    <mergeCell ref="A5:D5"/>
    <mergeCell ref="F5:G5"/>
    <mergeCell ref="J5:M5"/>
    <mergeCell ref="A6:D6"/>
    <mergeCell ref="F6:G6"/>
    <mergeCell ref="J6:M6"/>
    <mergeCell ref="A1:B1"/>
    <mergeCell ref="C1:K1"/>
    <mergeCell ref="L1:M1"/>
    <mergeCell ref="A2:M2"/>
    <mergeCell ref="A3:D4"/>
    <mergeCell ref="E3:E4"/>
    <mergeCell ref="F3:G4"/>
    <mergeCell ref="H3:I3"/>
    <mergeCell ref="J3:M4"/>
    <mergeCell ref="H4:I4"/>
    <mergeCell ref="A9:D9"/>
    <mergeCell ref="F9:G9"/>
    <mergeCell ref="J9:M9"/>
    <mergeCell ref="A10:D10"/>
    <mergeCell ref="F10:G10"/>
    <mergeCell ref="J10:M10"/>
    <mergeCell ref="A7:D7"/>
    <mergeCell ref="F7:G7"/>
    <mergeCell ref="J7:M7"/>
    <mergeCell ref="A8:D8"/>
    <mergeCell ref="F8:G8"/>
    <mergeCell ref="J8:M8"/>
    <mergeCell ref="A13:D13"/>
    <mergeCell ref="F13:G13"/>
    <mergeCell ref="J13:M13"/>
    <mergeCell ref="A14:D14"/>
    <mergeCell ref="F14:G14"/>
    <mergeCell ref="J14:M14"/>
    <mergeCell ref="A11:D11"/>
    <mergeCell ref="F11:G11"/>
    <mergeCell ref="J11:M11"/>
    <mergeCell ref="A12:D12"/>
    <mergeCell ref="F12:G12"/>
    <mergeCell ref="J12:M12"/>
    <mergeCell ref="A17:D17"/>
    <mergeCell ref="F17:G17"/>
    <mergeCell ref="J17:M17"/>
    <mergeCell ref="A18:D18"/>
    <mergeCell ref="F18:G18"/>
    <mergeCell ref="J18:M18"/>
    <mergeCell ref="A15:D15"/>
    <mergeCell ref="F15:G15"/>
    <mergeCell ref="J15:M15"/>
    <mergeCell ref="A16:D16"/>
    <mergeCell ref="F16:G16"/>
    <mergeCell ref="J16:M16"/>
    <mergeCell ref="A21:D21"/>
    <mergeCell ref="F21:G21"/>
    <mergeCell ref="J21:M21"/>
    <mergeCell ref="A22:D22"/>
    <mergeCell ref="F22:G22"/>
    <mergeCell ref="J22:M22"/>
    <mergeCell ref="A19:D19"/>
    <mergeCell ref="F19:G19"/>
    <mergeCell ref="J19:M19"/>
    <mergeCell ref="A20:D20"/>
    <mergeCell ref="F20:G20"/>
    <mergeCell ref="J20:M20"/>
    <mergeCell ref="A25:D25"/>
    <mergeCell ref="F25:G25"/>
    <mergeCell ref="J25:M25"/>
    <mergeCell ref="A26:D26"/>
    <mergeCell ref="F26:G26"/>
    <mergeCell ref="J26:M26"/>
    <mergeCell ref="A23:D23"/>
    <mergeCell ref="F23:G23"/>
    <mergeCell ref="J23:M23"/>
    <mergeCell ref="A24:D24"/>
    <mergeCell ref="F24:G24"/>
    <mergeCell ref="J24:M24"/>
    <mergeCell ref="A29:D29"/>
    <mergeCell ref="F29:G29"/>
    <mergeCell ref="J29:M29"/>
    <mergeCell ref="A30:D30"/>
    <mergeCell ref="F30:G30"/>
    <mergeCell ref="J30:M30"/>
    <mergeCell ref="A27:D27"/>
    <mergeCell ref="F27:G27"/>
    <mergeCell ref="J27:M27"/>
    <mergeCell ref="A28:D28"/>
    <mergeCell ref="F28:G28"/>
    <mergeCell ref="J28:M28"/>
    <mergeCell ref="A33:D33"/>
    <mergeCell ref="F33:G33"/>
    <mergeCell ref="J33:M33"/>
    <mergeCell ref="A34:D34"/>
    <mergeCell ref="F34:G34"/>
    <mergeCell ref="J34:M34"/>
    <mergeCell ref="A31:D31"/>
    <mergeCell ref="F31:G31"/>
    <mergeCell ref="J31:M31"/>
    <mergeCell ref="A32:D32"/>
    <mergeCell ref="F32:G32"/>
    <mergeCell ref="J32:M32"/>
    <mergeCell ref="A37:D37"/>
    <mergeCell ref="F37:G37"/>
    <mergeCell ref="J37:M37"/>
    <mergeCell ref="A38:D38"/>
    <mergeCell ref="F38:G38"/>
    <mergeCell ref="J38:M38"/>
    <mergeCell ref="A35:D35"/>
    <mergeCell ref="F35:G35"/>
    <mergeCell ref="J35:M35"/>
    <mergeCell ref="A36:D36"/>
    <mergeCell ref="F36:G36"/>
    <mergeCell ref="J36:M36"/>
    <mergeCell ref="A41:D41"/>
    <mergeCell ref="F41:G41"/>
    <mergeCell ref="J41:M41"/>
    <mergeCell ref="A42:D42"/>
    <mergeCell ref="F42:G42"/>
    <mergeCell ref="J42:M42"/>
    <mergeCell ref="A39:D39"/>
    <mergeCell ref="F39:G39"/>
    <mergeCell ref="J39:M39"/>
    <mergeCell ref="A40:D40"/>
    <mergeCell ref="F40:G40"/>
    <mergeCell ref="J40:M40"/>
    <mergeCell ref="A45:D45"/>
    <mergeCell ref="F45:G45"/>
    <mergeCell ref="J45:M45"/>
    <mergeCell ref="A46:D46"/>
    <mergeCell ref="F46:G46"/>
    <mergeCell ref="J46:M46"/>
    <mergeCell ref="A43:D43"/>
    <mergeCell ref="F43:G43"/>
    <mergeCell ref="J43:M43"/>
    <mergeCell ref="A44:D44"/>
    <mergeCell ref="F44:G44"/>
    <mergeCell ref="J44:M44"/>
    <mergeCell ref="A51:M51"/>
    <mergeCell ref="A52:M60"/>
    <mergeCell ref="A49:D49"/>
    <mergeCell ref="F49:G49"/>
    <mergeCell ref="J49:M49"/>
    <mergeCell ref="A50:D50"/>
    <mergeCell ref="F50:G50"/>
    <mergeCell ref="J50:M50"/>
    <mergeCell ref="A47:D47"/>
    <mergeCell ref="F47:G47"/>
    <mergeCell ref="J47:M47"/>
    <mergeCell ref="A48:D48"/>
    <mergeCell ref="F48:G48"/>
    <mergeCell ref="J48:M48"/>
  </mergeCells>
  <pageMargins left="0.25" right="0.26" top="0.2" bottom="0.27" header="0.2" footer="0.2"/>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3127C-4D82-451E-94BD-40B506A25824}">
  <dimension ref="A1:V59"/>
  <sheetViews>
    <sheetView workbookViewId="0">
      <selection activeCell="B8" sqref="B8"/>
    </sheetView>
  </sheetViews>
  <sheetFormatPr defaultRowHeight="12.75" x14ac:dyDescent="0.2"/>
  <cols>
    <col min="1" max="4" width="7.42578125" customWidth="1"/>
    <col min="6" max="6" width="5.5703125" customWidth="1"/>
    <col min="7" max="7" width="3.5703125" customWidth="1"/>
    <col min="8" max="8" width="5.140625" customWidth="1"/>
    <col min="9" max="9" width="6.7109375" customWidth="1"/>
    <col min="11" max="11" width="17.140625" customWidth="1"/>
    <col min="13" max="13" width="9" customWidth="1"/>
  </cols>
  <sheetData>
    <row r="1" spans="1:13" ht="18.75" thickBot="1" x14ac:dyDescent="0.3">
      <c r="A1" s="78" t="s">
        <v>238</v>
      </c>
      <c r="B1" s="304">
        <v>45877</v>
      </c>
      <c r="C1" s="304"/>
      <c r="F1" s="79"/>
      <c r="G1" s="79" t="s">
        <v>71</v>
      </c>
      <c r="H1" s="79"/>
      <c r="I1" s="79"/>
      <c r="J1" s="80"/>
      <c r="K1" s="80"/>
      <c r="L1" s="311" t="s">
        <v>72</v>
      </c>
      <c r="M1" s="312"/>
    </row>
    <row r="2" spans="1:13" ht="13.5" thickBot="1" x14ac:dyDescent="0.25">
      <c r="A2" s="308" t="s">
        <v>0</v>
      </c>
      <c r="B2" s="309"/>
      <c r="C2" s="309"/>
      <c r="D2" s="309"/>
      <c r="E2" s="309"/>
      <c r="F2" s="309"/>
      <c r="G2" s="309"/>
      <c r="H2" s="310"/>
      <c r="I2" s="81"/>
      <c r="J2" s="82"/>
      <c r="K2" s="82"/>
      <c r="L2" s="81"/>
      <c r="M2" s="83"/>
    </row>
    <row r="3" spans="1:13" x14ac:dyDescent="0.2">
      <c r="A3" s="318" t="s">
        <v>66</v>
      </c>
      <c r="B3" s="319"/>
      <c r="C3" s="319"/>
      <c r="D3" s="319"/>
      <c r="E3" s="319"/>
      <c r="F3" s="319"/>
      <c r="G3" s="319"/>
      <c r="H3" s="320"/>
      <c r="I3" s="84" t="s">
        <v>193</v>
      </c>
      <c r="J3" s="82"/>
      <c r="K3" s="85"/>
      <c r="L3" s="82"/>
      <c r="M3" s="86"/>
    </row>
    <row r="4" spans="1:13" x14ac:dyDescent="0.2">
      <c r="A4" s="318" t="s">
        <v>64</v>
      </c>
      <c r="B4" s="319"/>
      <c r="C4" s="319"/>
      <c r="D4" s="319"/>
      <c r="E4" s="319"/>
      <c r="F4" s="319"/>
      <c r="G4" s="319"/>
      <c r="H4" s="320"/>
      <c r="I4" s="322"/>
      <c r="J4" s="300"/>
      <c r="K4" s="300"/>
      <c r="L4" s="300"/>
      <c r="M4" s="301"/>
    </row>
    <row r="5" spans="1:13" x14ac:dyDescent="0.2">
      <c r="A5" s="318" t="s">
        <v>65</v>
      </c>
      <c r="B5" s="319"/>
      <c r="C5" s="319"/>
      <c r="D5" s="319"/>
      <c r="E5" s="319"/>
      <c r="F5" s="319"/>
      <c r="G5" s="319"/>
      <c r="H5" s="320"/>
      <c r="I5" s="322"/>
      <c r="J5" s="300"/>
      <c r="K5" s="300"/>
      <c r="L5" s="300"/>
      <c r="M5" s="301"/>
    </row>
    <row r="6" spans="1:13" ht="13.5" thickBot="1" x14ac:dyDescent="0.25">
      <c r="A6" s="316" t="s">
        <v>4</v>
      </c>
      <c r="B6" s="317"/>
      <c r="C6" s="317"/>
      <c r="D6" s="317"/>
      <c r="E6" s="317"/>
      <c r="F6" s="321" t="s">
        <v>5</v>
      </c>
      <c r="G6" s="321"/>
      <c r="H6" s="87"/>
      <c r="I6" s="323"/>
      <c r="J6" s="324"/>
      <c r="K6" s="324"/>
      <c r="L6" s="324"/>
      <c r="M6" s="325"/>
    </row>
    <row r="7" spans="1:13" x14ac:dyDescent="0.2">
      <c r="A7" s="334" t="s">
        <v>16</v>
      </c>
      <c r="B7" s="335"/>
      <c r="C7" s="335"/>
      <c r="D7" s="335"/>
      <c r="E7" s="335"/>
      <c r="F7" s="335"/>
      <c r="G7" s="335"/>
      <c r="H7" s="336"/>
      <c r="I7" s="88" t="s">
        <v>233</v>
      </c>
      <c r="J7" s="89"/>
      <c r="K7" s="90" t="str">
        <f>ADDRESS!I1</f>
        <v>CH Robinson</v>
      </c>
      <c r="L7" s="89"/>
      <c r="M7" s="91"/>
    </row>
    <row r="8" spans="1:13" x14ac:dyDescent="0.2">
      <c r="A8" s="92" t="s">
        <v>1</v>
      </c>
      <c r="B8" s="124" t="s">
        <v>113</v>
      </c>
      <c r="C8" s="93"/>
      <c r="D8" s="93"/>
      <c r="E8" s="340" t="s">
        <v>18</v>
      </c>
      <c r="F8" s="340"/>
      <c r="G8" s="340"/>
      <c r="H8" s="341"/>
      <c r="I8" s="326" t="s">
        <v>19</v>
      </c>
      <c r="J8" s="319"/>
      <c r="K8" s="319"/>
      <c r="L8" s="319"/>
      <c r="M8" s="320"/>
    </row>
    <row r="9" spans="1:13" ht="13.5" thickBot="1" x14ac:dyDescent="0.25">
      <c r="A9" s="94" t="s">
        <v>2</v>
      </c>
      <c r="B9" t="str">
        <f>VLOOKUP(B8,ADDRESS!$A$2:$E$30,2,FALSE)</f>
        <v>13790 Harvey Road</v>
      </c>
      <c r="H9" s="95"/>
      <c r="I9" s="96" t="s">
        <v>74</v>
      </c>
      <c r="J9" s="97"/>
      <c r="K9" s="97">
        <f>ADDRESS!I3</f>
        <v>10285609</v>
      </c>
      <c r="L9" s="97"/>
      <c r="M9" s="87"/>
    </row>
    <row r="10" spans="1:13" x14ac:dyDescent="0.2">
      <c r="A10" s="98" t="s">
        <v>73</v>
      </c>
      <c r="C10" s="299" t="str">
        <f>CONCATENATE(VLOOKUP(B8,ADDRESS!$A$2:$E$30,3,FALSE),", ",VLOOKUP(B8,ADDRESS!$A$2:$E$30,4,FALSE)," ",VLOOKUP(B8,ADDRESS!$A$2:$E$30,5,FALSE))</f>
        <v>TYLER, TX 75706</v>
      </c>
      <c r="D10" s="299"/>
      <c r="E10" s="299"/>
      <c r="F10" s="299"/>
      <c r="G10" s="299"/>
      <c r="H10" s="95"/>
      <c r="I10" s="99" t="s">
        <v>234</v>
      </c>
      <c r="J10" s="100" t="str">
        <f>ADDRESS!I2</f>
        <v>RBTW</v>
      </c>
      <c r="K10" s="100"/>
      <c r="L10" s="100"/>
      <c r="M10" s="101"/>
    </row>
    <row r="11" spans="1:13" ht="13.5" thickBot="1" x14ac:dyDescent="0.25">
      <c r="A11" s="342" t="s">
        <v>17</v>
      </c>
      <c r="B11" s="317"/>
      <c r="C11" s="317"/>
      <c r="D11" s="317"/>
      <c r="E11" s="317"/>
      <c r="F11" s="321" t="s">
        <v>5</v>
      </c>
      <c r="G11" s="321"/>
      <c r="H11" s="87"/>
      <c r="I11" s="302" t="s">
        <v>75</v>
      </c>
      <c r="J11" s="303"/>
      <c r="K11" s="102">
        <f>ADDRESS!I4</f>
        <v>523953410</v>
      </c>
      <c r="L11" s="102"/>
      <c r="M11" s="103"/>
    </row>
    <row r="12" spans="1:13" ht="13.5" thickBot="1" x14ac:dyDescent="0.25">
      <c r="A12" s="327" t="s">
        <v>20</v>
      </c>
      <c r="B12" s="328"/>
      <c r="C12" s="328"/>
      <c r="D12" s="328"/>
      <c r="E12" s="328"/>
      <c r="F12" s="328"/>
      <c r="G12" s="328"/>
      <c r="H12" s="329"/>
      <c r="I12" s="322"/>
      <c r="J12" s="300"/>
      <c r="K12" s="300"/>
      <c r="L12" s="300"/>
      <c r="M12" s="301"/>
    </row>
    <row r="13" spans="1:13" x14ac:dyDescent="0.2">
      <c r="A13" s="313" t="s">
        <v>1</v>
      </c>
      <c r="B13" s="314"/>
      <c r="C13" s="314"/>
      <c r="D13" s="314"/>
      <c r="E13" s="314"/>
      <c r="F13" s="314"/>
      <c r="G13" s="314"/>
      <c r="H13" s="315"/>
      <c r="I13" s="322"/>
      <c r="J13" s="300"/>
      <c r="K13" s="300"/>
      <c r="L13" s="300"/>
      <c r="M13" s="301"/>
    </row>
    <row r="14" spans="1:13" ht="13.5" thickBot="1" x14ac:dyDescent="0.25">
      <c r="A14" s="318" t="s">
        <v>2</v>
      </c>
      <c r="B14" s="319"/>
      <c r="C14" s="319"/>
      <c r="D14" s="319"/>
      <c r="E14" s="319"/>
      <c r="F14" s="319"/>
      <c r="G14" s="319"/>
      <c r="H14" s="320"/>
      <c r="I14" s="323"/>
      <c r="J14" s="324"/>
      <c r="K14" s="324"/>
      <c r="L14" s="324"/>
      <c r="M14" s="325"/>
    </row>
    <row r="15" spans="1:13" ht="23.25" customHeight="1" x14ac:dyDescent="0.2">
      <c r="A15" s="350" t="s">
        <v>3</v>
      </c>
      <c r="B15" s="351"/>
      <c r="C15" s="351"/>
      <c r="D15" s="351"/>
      <c r="E15" s="351"/>
      <c r="F15" s="352"/>
      <c r="G15" s="352"/>
      <c r="H15" s="352"/>
      <c r="I15" s="347" t="s">
        <v>24</v>
      </c>
      <c r="J15" s="348"/>
      <c r="K15" s="348"/>
      <c r="L15" s="348"/>
      <c r="M15" s="349"/>
    </row>
    <row r="16" spans="1:13" x14ac:dyDescent="0.2">
      <c r="A16" s="70"/>
      <c r="B16" s="70"/>
      <c r="C16" s="70"/>
      <c r="D16" s="70"/>
      <c r="E16" s="70"/>
      <c r="F16" s="71"/>
      <c r="G16" s="71"/>
      <c r="H16" s="72"/>
      <c r="I16" s="364" t="s">
        <v>61</v>
      </c>
      <c r="J16" s="365"/>
      <c r="K16" s="365"/>
      <c r="L16" s="365"/>
      <c r="M16" s="366"/>
    </row>
    <row r="17" spans="1:13" ht="14.25" customHeight="1" x14ac:dyDescent="0.2">
      <c r="A17" s="73" t="s">
        <v>76</v>
      </c>
      <c r="B17" s="74"/>
      <c r="C17" s="74"/>
      <c r="D17" s="74"/>
      <c r="E17" s="74"/>
      <c r="F17" s="300">
        <f>ADDRESS!I5</f>
        <v>59642884</v>
      </c>
      <c r="G17" s="300"/>
      <c r="H17" s="301"/>
      <c r="I17" s="361"/>
      <c r="J17" s="340"/>
      <c r="K17" s="343" t="s">
        <v>26</v>
      </c>
      <c r="L17" s="343"/>
      <c r="M17" s="344"/>
    </row>
    <row r="18" spans="1:13" ht="10.5" customHeight="1" thickBot="1" x14ac:dyDescent="0.25">
      <c r="A18" s="75"/>
      <c r="B18" s="76"/>
      <c r="C18" s="76"/>
      <c r="D18" s="76"/>
      <c r="E18" s="76"/>
      <c r="F18" s="76"/>
      <c r="G18" s="76"/>
      <c r="H18" s="77"/>
      <c r="I18" s="362" t="s">
        <v>25</v>
      </c>
      <c r="J18" s="363"/>
      <c r="K18" s="345"/>
      <c r="L18" s="345"/>
      <c r="M18" s="346"/>
    </row>
    <row r="19" spans="1:13" x14ac:dyDescent="0.2">
      <c r="A19" s="373" t="s">
        <v>27</v>
      </c>
      <c r="B19" s="374"/>
      <c r="C19" s="374"/>
      <c r="D19" s="374"/>
      <c r="E19" s="374"/>
      <c r="F19" s="374"/>
      <c r="G19" s="374"/>
      <c r="H19" s="374"/>
      <c r="I19" s="374"/>
      <c r="J19" s="374"/>
      <c r="K19" s="374"/>
      <c r="L19" s="374"/>
      <c r="M19" s="375"/>
    </row>
    <row r="20" spans="1:13" ht="12" customHeight="1" x14ac:dyDescent="0.2">
      <c r="A20" s="376" t="s">
        <v>23</v>
      </c>
      <c r="B20" s="377"/>
      <c r="C20" s="377"/>
      <c r="D20" s="377"/>
      <c r="E20" s="377" t="s">
        <v>28</v>
      </c>
      <c r="F20" s="377" t="s">
        <v>10</v>
      </c>
      <c r="G20" s="377"/>
      <c r="H20" s="359" t="s">
        <v>29</v>
      </c>
      <c r="I20" s="360"/>
      <c r="J20" s="353" t="s">
        <v>31</v>
      </c>
      <c r="K20" s="354"/>
      <c r="L20" s="354"/>
      <c r="M20" s="355"/>
    </row>
    <row r="21" spans="1:13" ht="9.75" customHeight="1" x14ac:dyDescent="0.2">
      <c r="A21" s="376"/>
      <c r="B21" s="377"/>
      <c r="C21" s="377"/>
      <c r="D21" s="377"/>
      <c r="E21" s="377"/>
      <c r="F21" s="377"/>
      <c r="G21" s="377"/>
      <c r="H21" s="337" t="s">
        <v>30</v>
      </c>
      <c r="I21" s="338"/>
      <c r="J21" s="356"/>
      <c r="K21" s="357"/>
      <c r="L21" s="357"/>
      <c r="M21" s="358"/>
    </row>
    <row r="22" spans="1:13" x14ac:dyDescent="0.2">
      <c r="A22" s="378" t="str">
        <f>VLOOKUP(B8,'Customer Order Info'!$A$3:$D$31,2,FALSE)</f>
        <v>0215-8880831-0578</v>
      </c>
      <c r="B22" s="333"/>
      <c r="C22" s="333"/>
      <c r="D22" s="369"/>
      <c r="E22" s="10">
        <f>VLOOKUP(A22,'Customer Order Info'!B3:D31,2,FALSE)</f>
        <v>83</v>
      </c>
      <c r="F22" s="333">
        <f>VLOOKUP(A22,'Customer Order Info'!B3:D31,3,FALSE)</f>
        <v>83</v>
      </c>
      <c r="G22" s="333"/>
      <c r="H22" s="10" t="s">
        <v>54</v>
      </c>
      <c r="I22" s="10" t="s">
        <v>55</v>
      </c>
      <c r="J22" s="333"/>
      <c r="K22" s="333"/>
      <c r="L22" s="333"/>
      <c r="M22" s="339"/>
    </row>
    <row r="23" spans="1:13" x14ac:dyDescent="0.2">
      <c r="A23" s="330"/>
      <c r="B23" s="331"/>
      <c r="C23" s="331"/>
      <c r="D23" s="332"/>
      <c r="E23" s="10"/>
      <c r="F23" s="333"/>
      <c r="G23" s="333"/>
      <c r="H23" s="10" t="s">
        <v>54</v>
      </c>
      <c r="I23" s="10" t="s">
        <v>55</v>
      </c>
      <c r="J23" s="333"/>
      <c r="K23" s="333"/>
      <c r="L23" s="333"/>
      <c r="M23" s="339"/>
    </row>
    <row r="24" spans="1:13" x14ac:dyDescent="0.2">
      <c r="A24" s="330"/>
      <c r="B24" s="331"/>
      <c r="C24" s="331"/>
      <c r="D24" s="332"/>
      <c r="E24" s="10"/>
      <c r="F24" s="333"/>
      <c r="G24" s="333"/>
      <c r="H24" s="10" t="s">
        <v>54</v>
      </c>
      <c r="I24" s="10" t="s">
        <v>55</v>
      </c>
      <c r="J24" s="333"/>
      <c r="K24" s="333"/>
      <c r="L24" s="333"/>
      <c r="M24" s="339"/>
    </row>
    <row r="25" spans="1:13" x14ac:dyDescent="0.2">
      <c r="A25" s="330"/>
      <c r="B25" s="331"/>
      <c r="C25" s="331"/>
      <c r="D25" s="332"/>
      <c r="E25" s="10"/>
      <c r="F25" s="333"/>
      <c r="G25" s="333"/>
      <c r="H25" s="10" t="s">
        <v>54</v>
      </c>
      <c r="I25" s="10" t="s">
        <v>55</v>
      </c>
      <c r="J25" s="333"/>
      <c r="K25" s="333"/>
      <c r="L25" s="333"/>
      <c r="M25" s="339"/>
    </row>
    <row r="26" spans="1:13" x14ac:dyDescent="0.2">
      <c r="A26" s="330"/>
      <c r="B26" s="331"/>
      <c r="C26" s="331"/>
      <c r="D26" s="332"/>
      <c r="E26" s="10"/>
      <c r="F26" s="333"/>
      <c r="G26" s="333"/>
      <c r="H26" s="10" t="s">
        <v>54</v>
      </c>
      <c r="I26" s="10" t="s">
        <v>55</v>
      </c>
      <c r="J26" s="333"/>
      <c r="K26" s="333"/>
      <c r="L26" s="333"/>
      <c r="M26" s="339"/>
    </row>
    <row r="27" spans="1:13" x14ac:dyDescent="0.2">
      <c r="A27" s="330"/>
      <c r="B27" s="331"/>
      <c r="C27" s="331"/>
      <c r="D27" s="332"/>
      <c r="E27" s="10"/>
      <c r="F27" s="333"/>
      <c r="G27" s="333"/>
      <c r="H27" s="10" t="s">
        <v>54</v>
      </c>
      <c r="I27" s="10" t="s">
        <v>55</v>
      </c>
      <c r="J27" s="333"/>
      <c r="K27" s="333"/>
      <c r="L27" s="333"/>
      <c r="M27" s="339"/>
    </row>
    <row r="28" spans="1:13" x14ac:dyDescent="0.2">
      <c r="A28" s="330"/>
      <c r="B28" s="331"/>
      <c r="C28" s="331"/>
      <c r="D28" s="332"/>
      <c r="E28" s="10"/>
      <c r="F28" s="333"/>
      <c r="G28" s="333"/>
      <c r="H28" s="10" t="s">
        <v>54</v>
      </c>
      <c r="I28" s="10" t="s">
        <v>55</v>
      </c>
      <c r="J28" s="333"/>
      <c r="K28" s="333"/>
      <c r="L28" s="333"/>
      <c r="M28" s="339"/>
    </row>
    <row r="29" spans="1:13" x14ac:dyDescent="0.2">
      <c r="A29" s="330"/>
      <c r="B29" s="331"/>
      <c r="C29" s="331"/>
      <c r="D29" s="332"/>
      <c r="E29" s="10"/>
      <c r="F29" s="333"/>
      <c r="G29" s="333"/>
      <c r="H29" s="10" t="s">
        <v>54</v>
      </c>
      <c r="I29" s="10" t="s">
        <v>55</v>
      </c>
      <c r="J29" s="333"/>
      <c r="K29" s="333"/>
      <c r="L29" s="333"/>
      <c r="M29" s="339"/>
    </row>
    <row r="30" spans="1:13" x14ac:dyDescent="0.2">
      <c r="A30" s="367" t="s">
        <v>22</v>
      </c>
      <c r="B30" s="368"/>
      <c r="C30" s="368"/>
      <c r="D30" s="368"/>
      <c r="E30" s="9">
        <f>SUM(E22:E29)</f>
        <v>83</v>
      </c>
      <c r="F30" s="379">
        <f>SUM(F22:G29)</f>
        <v>83</v>
      </c>
      <c r="G30" s="333"/>
      <c r="H30" s="306"/>
      <c r="I30" s="307"/>
      <c r="J30" s="306"/>
      <c r="K30" s="372"/>
      <c r="L30" s="372"/>
      <c r="M30" s="307"/>
    </row>
    <row r="31" spans="1:13" x14ac:dyDescent="0.2">
      <c r="A31" s="380" t="s">
        <v>21</v>
      </c>
      <c r="B31" s="381"/>
      <c r="C31" s="381"/>
      <c r="D31" s="381"/>
      <c r="E31" s="381"/>
      <c r="F31" s="381"/>
      <c r="G31" s="381"/>
      <c r="H31" s="381"/>
      <c r="I31" s="381"/>
      <c r="J31" s="381"/>
      <c r="K31" s="381"/>
      <c r="L31" s="381"/>
      <c r="M31" s="382"/>
    </row>
    <row r="32" spans="1:13" x14ac:dyDescent="0.2">
      <c r="A32" s="387" t="s">
        <v>6</v>
      </c>
      <c r="B32" s="385"/>
      <c r="C32" s="385" t="s">
        <v>9</v>
      </c>
      <c r="D32" s="385"/>
      <c r="E32" s="388" t="s">
        <v>10</v>
      </c>
      <c r="F32" s="389" t="s">
        <v>11</v>
      </c>
      <c r="G32" s="383" t="s">
        <v>12</v>
      </c>
      <c r="H32" s="383"/>
      <c r="I32" s="383"/>
      <c r="J32" s="383"/>
      <c r="K32" s="383"/>
      <c r="L32" s="385" t="s">
        <v>13</v>
      </c>
      <c r="M32" s="386"/>
    </row>
    <row r="33" spans="1:22" ht="24.75" customHeight="1" x14ac:dyDescent="0.2">
      <c r="A33" s="4" t="s">
        <v>7</v>
      </c>
      <c r="B33" s="1" t="s">
        <v>8</v>
      </c>
      <c r="C33" s="1" t="s">
        <v>7</v>
      </c>
      <c r="D33" s="1" t="s">
        <v>8</v>
      </c>
      <c r="E33" s="388"/>
      <c r="F33" s="389"/>
      <c r="G33" s="384" t="s">
        <v>53</v>
      </c>
      <c r="H33" s="384"/>
      <c r="I33" s="384"/>
      <c r="J33" s="384"/>
      <c r="K33" s="384"/>
      <c r="L33" s="2" t="s">
        <v>14</v>
      </c>
      <c r="M33" s="5" t="s">
        <v>15</v>
      </c>
    </row>
    <row r="34" spans="1:22" x14ac:dyDescent="0.2">
      <c r="A34" s="105">
        <f>E30</f>
        <v>83</v>
      </c>
      <c r="B34" s="10" t="s">
        <v>60</v>
      </c>
      <c r="C34" s="9">
        <f>F30</f>
        <v>83</v>
      </c>
      <c r="D34" s="104" t="s">
        <v>60</v>
      </c>
      <c r="E34" s="9">
        <f>F30</f>
        <v>83</v>
      </c>
      <c r="F34" s="10"/>
      <c r="G34" s="369" t="s">
        <v>77</v>
      </c>
      <c r="H34" s="370"/>
      <c r="I34" s="370"/>
      <c r="J34" s="370"/>
      <c r="K34" s="371"/>
      <c r="L34" s="106"/>
      <c r="M34" s="107"/>
    </row>
    <row r="35" spans="1:22" x14ac:dyDescent="0.2">
      <c r="A35" s="108"/>
      <c r="B35" s="10"/>
      <c r="C35" s="10"/>
      <c r="D35" s="10"/>
      <c r="E35" s="10"/>
      <c r="F35" s="106"/>
      <c r="G35" s="369"/>
      <c r="H35" s="370"/>
      <c r="I35" s="370"/>
      <c r="J35" s="370"/>
      <c r="K35" s="371"/>
      <c r="L35" s="106"/>
      <c r="M35" s="107"/>
    </row>
    <row r="36" spans="1:22" x14ac:dyDescent="0.2">
      <c r="A36" s="108"/>
      <c r="B36" s="10"/>
      <c r="C36" s="10"/>
      <c r="D36" s="10"/>
      <c r="E36" s="10"/>
      <c r="F36" s="106"/>
      <c r="G36" s="369"/>
      <c r="H36" s="370"/>
      <c r="I36" s="370"/>
      <c r="J36" s="370"/>
      <c r="K36" s="371"/>
      <c r="L36" s="106"/>
      <c r="M36" s="107"/>
    </row>
    <row r="37" spans="1:22" x14ac:dyDescent="0.2">
      <c r="A37" s="108"/>
      <c r="B37" s="10"/>
      <c r="C37" s="10"/>
      <c r="D37" s="10"/>
      <c r="E37" s="10"/>
      <c r="F37" s="106"/>
      <c r="G37" s="369"/>
      <c r="H37" s="370"/>
      <c r="I37" s="370"/>
      <c r="J37" s="370"/>
      <c r="K37" s="371"/>
      <c r="L37" s="106"/>
      <c r="M37" s="107"/>
      <c r="Q37" s="391"/>
      <c r="R37" s="391"/>
      <c r="S37" s="7"/>
      <c r="T37" s="390"/>
      <c r="U37" s="390"/>
      <c r="V37" s="390"/>
    </row>
    <row r="38" spans="1:22" x14ac:dyDescent="0.2">
      <c r="A38" s="108"/>
      <c r="B38" s="10"/>
      <c r="C38" s="10"/>
      <c r="D38" s="10"/>
      <c r="E38" s="10"/>
      <c r="F38" s="106"/>
      <c r="G38" s="369"/>
      <c r="H38" s="370"/>
      <c r="I38" s="370"/>
      <c r="J38" s="370"/>
      <c r="K38" s="371"/>
      <c r="L38" s="106"/>
      <c r="M38" s="109"/>
      <c r="Q38" s="391"/>
      <c r="R38" s="391"/>
      <c r="S38" s="7"/>
      <c r="T38" s="390"/>
      <c r="U38" s="390"/>
      <c r="V38" s="390"/>
    </row>
    <row r="39" spans="1:22" x14ac:dyDescent="0.2">
      <c r="A39" s="108"/>
      <c r="B39" s="10"/>
      <c r="C39" s="10"/>
      <c r="D39" s="10"/>
      <c r="E39" s="10"/>
      <c r="F39" s="106"/>
      <c r="G39" s="369"/>
      <c r="H39" s="370"/>
      <c r="I39" s="370"/>
      <c r="J39" s="370"/>
      <c r="K39" s="371"/>
      <c r="L39" s="106"/>
      <c r="M39" s="109"/>
      <c r="Q39" s="6"/>
      <c r="R39" s="6"/>
      <c r="S39" s="392"/>
      <c r="T39" s="390"/>
      <c r="U39" s="390"/>
      <c r="V39" s="390"/>
    </row>
    <row r="40" spans="1:22" x14ac:dyDescent="0.2">
      <c r="A40" s="108"/>
      <c r="B40" s="10"/>
      <c r="C40" s="10"/>
      <c r="D40" s="10"/>
      <c r="E40" s="10"/>
      <c r="F40" s="106"/>
      <c r="G40" s="369"/>
      <c r="H40" s="370"/>
      <c r="I40" s="370"/>
      <c r="J40" s="370"/>
      <c r="K40" s="371"/>
      <c r="L40" s="106"/>
      <c r="M40" s="107"/>
      <c r="Q40" s="6"/>
      <c r="R40" s="6"/>
      <c r="S40" s="392"/>
      <c r="T40" s="390"/>
      <c r="U40" s="390"/>
      <c r="V40" s="390"/>
    </row>
    <row r="41" spans="1:22" x14ac:dyDescent="0.2">
      <c r="A41" s="108"/>
      <c r="B41" s="10"/>
      <c r="C41" s="10"/>
      <c r="D41" s="10"/>
      <c r="E41" s="10"/>
      <c r="F41" s="106"/>
      <c r="G41" s="369"/>
      <c r="H41" s="370"/>
      <c r="I41" s="370"/>
      <c r="J41" s="370"/>
      <c r="K41" s="371"/>
      <c r="L41" s="106"/>
      <c r="M41" s="107"/>
    </row>
    <row r="42" spans="1:22" ht="13.5" thickBot="1" x14ac:dyDescent="0.25">
      <c r="A42" s="110">
        <f>SUM(A34:A41)</f>
        <v>83</v>
      </c>
      <c r="B42" s="111"/>
      <c r="C42" s="112">
        <f>SUM(C34:C41)</f>
        <v>83</v>
      </c>
      <c r="D42" s="111"/>
      <c r="E42" s="112">
        <f>SUM(E34:E41)</f>
        <v>83</v>
      </c>
      <c r="F42" s="113"/>
      <c r="G42" s="399" t="s">
        <v>22</v>
      </c>
      <c r="H42" s="400"/>
      <c r="I42" s="400"/>
      <c r="J42" s="400"/>
      <c r="K42" s="401"/>
      <c r="L42" s="113"/>
      <c r="M42" s="114"/>
    </row>
    <row r="43" spans="1:22" ht="9" customHeight="1" x14ac:dyDescent="0.2">
      <c r="A43" s="409" t="s">
        <v>32</v>
      </c>
      <c r="B43" s="410"/>
      <c r="C43" s="410"/>
      <c r="D43" s="410"/>
      <c r="E43" s="410"/>
      <c r="F43" s="410"/>
      <c r="G43" s="410"/>
      <c r="H43" s="411"/>
      <c r="I43" s="327" t="s">
        <v>35</v>
      </c>
      <c r="J43" s="328"/>
      <c r="K43" s="328"/>
      <c r="L43" s="328"/>
      <c r="M43" s="329"/>
    </row>
    <row r="44" spans="1:22" ht="9.75" customHeight="1" x14ac:dyDescent="0.2">
      <c r="A44" s="412"/>
      <c r="B44" s="413"/>
      <c r="C44" s="413"/>
      <c r="D44" s="413"/>
      <c r="E44" s="413"/>
      <c r="F44" s="413"/>
      <c r="G44" s="413"/>
      <c r="H44" s="414"/>
      <c r="I44" s="373"/>
      <c r="J44" s="374"/>
      <c r="K44" s="374"/>
      <c r="L44" s="374"/>
      <c r="M44" s="375"/>
    </row>
    <row r="45" spans="1:22" ht="9.75" customHeight="1" x14ac:dyDescent="0.2">
      <c r="A45" s="425" t="s">
        <v>33</v>
      </c>
      <c r="B45" s="426"/>
      <c r="C45" s="426"/>
      <c r="D45" s="426"/>
      <c r="E45" s="426"/>
      <c r="F45" s="426"/>
      <c r="G45" s="426"/>
      <c r="H45" s="427"/>
      <c r="I45" s="417" t="s">
        <v>36</v>
      </c>
      <c r="J45" s="418"/>
      <c r="K45" s="418"/>
      <c r="L45" s="418"/>
      <c r="M45" s="419"/>
    </row>
    <row r="46" spans="1:22" ht="6.75" customHeight="1" x14ac:dyDescent="0.2">
      <c r="A46" s="425" t="s">
        <v>34</v>
      </c>
      <c r="B46" s="426"/>
      <c r="C46" s="426"/>
      <c r="D46" s="426"/>
      <c r="E46" s="426"/>
      <c r="F46" s="426"/>
      <c r="G46" s="426"/>
      <c r="H46" s="427"/>
      <c r="I46" s="417"/>
      <c r="J46" s="418"/>
      <c r="K46" s="418"/>
      <c r="L46" s="418"/>
      <c r="M46" s="419"/>
    </row>
    <row r="47" spans="1:22" ht="12" customHeight="1" thickBot="1" x14ac:dyDescent="0.25">
      <c r="A47" s="428"/>
      <c r="B47" s="429"/>
      <c r="C47" s="429"/>
      <c r="D47" s="429"/>
      <c r="E47" s="429"/>
      <c r="F47" s="429"/>
      <c r="G47" s="429"/>
      <c r="H47" s="430"/>
      <c r="I47" s="421" t="s">
        <v>37</v>
      </c>
      <c r="J47" s="422"/>
      <c r="K47" s="422"/>
      <c r="L47" s="422"/>
      <c r="M47" s="423"/>
    </row>
    <row r="48" spans="1:22" ht="13.5" thickBot="1" x14ac:dyDescent="0.25">
      <c r="A48" s="402" t="s">
        <v>38</v>
      </c>
      <c r="B48" s="393"/>
      <c r="C48" s="393"/>
      <c r="D48" s="393"/>
      <c r="E48" s="393"/>
      <c r="F48" s="393"/>
      <c r="G48" s="393"/>
      <c r="H48" s="393"/>
      <c r="I48" s="393"/>
      <c r="J48" s="393"/>
      <c r="K48" s="393"/>
      <c r="L48" s="393"/>
      <c r="M48" s="394"/>
    </row>
    <row r="49" spans="1:13" ht="11.25" customHeight="1" x14ac:dyDescent="0.2">
      <c r="A49" s="409" t="s">
        <v>39</v>
      </c>
      <c r="B49" s="410"/>
      <c r="C49" s="410"/>
      <c r="D49" s="410"/>
      <c r="E49" s="410"/>
      <c r="F49" s="410"/>
      <c r="G49" s="410"/>
      <c r="H49" s="411"/>
      <c r="I49" s="403" t="s">
        <v>40</v>
      </c>
      <c r="J49" s="404"/>
      <c r="K49" s="404"/>
      <c r="L49" s="404"/>
      <c r="M49" s="405"/>
    </row>
    <row r="50" spans="1:13" x14ac:dyDescent="0.2">
      <c r="A50" s="412"/>
      <c r="B50" s="413"/>
      <c r="C50" s="413"/>
      <c r="D50" s="413"/>
      <c r="E50" s="413"/>
      <c r="F50" s="413"/>
      <c r="G50" s="413"/>
      <c r="H50" s="414"/>
      <c r="I50" s="406"/>
      <c r="J50" s="407"/>
      <c r="K50" s="407"/>
      <c r="L50" s="407"/>
      <c r="M50" s="408"/>
    </row>
    <row r="51" spans="1:13" ht="13.5" thickBot="1" x14ac:dyDescent="0.25">
      <c r="A51" s="415"/>
      <c r="B51" s="416"/>
      <c r="C51" s="416"/>
      <c r="D51" s="416"/>
      <c r="E51" s="413"/>
      <c r="F51" s="413"/>
      <c r="G51" s="413"/>
      <c r="H51" s="414"/>
      <c r="I51" s="431" t="s">
        <v>41</v>
      </c>
      <c r="J51" s="432"/>
      <c r="K51" s="433"/>
      <c r="L51" s="433"/>
      <c r="M51" s="434"/>
    </row>
    <row r="52" spans="1:13" x14ac:dyDescent="0.2">
      <c r="A52" s="402" t="s">
        <v>42</v>
      </c>
      <c r="B52" s="393"/>
      <c r="C52" s="393"/>
      <c r="D52" s="393"/>
      <c r="E52" s="115" t="s">
        <v>44</v>
      </c>
      <c r="F52" s="116"/>
      <c r="G52" s="438" t="s">
        <v>45</v>
      </c>
      <c r="H52" s="438"/>
      <c r="I52" s="438"/>
      <c r="J52" s="439"/>
      <c r="K52" s="393" t="s">
        <v>50</v>
      </c>
      <c r="L52" s="393"/>
      <c r="M52" s="394"/>
    </row>
    <row r="53" spans="1:13" ht="3.75" customHeight="1" x14ac:dyDescent="0.2">
      <c r="A53" s="435" t="s">
        <v>43</v>
      </c>
      <c r="B53" s="436"/>
      <c r="C53" s="436"/>
      <c r="D53" s="436"/>
      <c r="E53" s="98"/>
      <c r="J53" s="95"/>
      <c r="K53" s="395" t="s">
        <v>52</v>
      </c>
      <c r="L53" s="395"/>
      <c r="M53" s="396"/>
    </row>
    <row r="54" spans="1:13" ht="14.25" customHeight="1" x14ac:dyDescent="0.2">
      <c r="A54" s="435"/>
      <c r="B54" s="436"/>
      <c r="C54" s="436"/>
      <c r="D54" s="436"/>
      <c r="E54" s="437" t="s">
        <v>46</v>
      </c>
      <c r="F54" s="391"/>
      <c r="G54" s="7"/>
      <c r="H54" s="390" t="s">
        <v>46</v>
      </c>
      <c r="I54" s="390"/>
      <c r="J54" s="424"/>
      <c r="K54" s="395"/>
      <c r="L54" s="395"/>
      <c r="M54" s="396"/>
    </row>
    <row r="55" spans="1:13" ht="9" customHeight="1" x14ac:dyDescent="0.2">
      <c r="A55" s="435"/>
      <c r="B55" s="436"/>
      <c r="C55" s="436"/>
      <c r="D55" s="436"/>
      <c r="E55" s="437" t="s">
        <v>47</v>
      </c>
      <c r="F55" s="391"/>
      <c r="G55" s="391"/>
      <c r="H55" s="390" t="s">
        <v>48</v>
      </c>
      <c r="I55" s="390"/>
      <c r="J55" s="424"/>
      <c r="K55" s="395"/>
      <c r="L55" s="395"/>
      <c r="M55" s="396"/>
    </row>
    <row r="56" spans="1:13" ht="6" customHeight="1" x14ac:dyDescent="0.2">
      <c r="A56" s="98"/>
      <c r="D56" s="95"/>
      <c r="E56" s="437"/>
      <c r="F56" s="391"/>
      <c r="G56" s="391"/>
      <c r="H56" s="390"/>
      <c r="I56" s="390"/>
      <c r="J56" s="424"/>
      <c r="K56" s="397" t="s">
        <v>51</v>
      </c>
      <c r="L56" s="397"/>
      <c r="M56" s="398"/>
    </row>
    <row r="57" spans="1:13" ht="14.25" customHeight="1" x14ac:dyDescent="0.2">
      <c r="A57" s="98"/>
      <c r="D57" s="95"/>
      <c r="E57" s="437"/>
      <c r="F57" s="391"/>
      <c r="G57" s="7"/>
      <c r="H57" s="390" t="s">
        <v>49</v>
      </c>
      <c r="I57" s="390"/>
      <c r="J57" s="424"/>
      <c r="K57" s="117"/>
      <c r="L57" s="118"/>
      <c r="M57" s="119"/>
    </row>
    <row r="58" spans="1:13" ht="12.75" customHeight="1" thickBot="1" x14ac:dyDescent="0.25">
      <c r="A58" s="120"/>
      <c r="B58" s="305">
        <f>B1</f>
        <v>45877</v>
      </c>
      <c r="C58" s="305"/>
      <c r="D58" s="87"/>
      <c r="E58" s="362"/>
      <c r="F58" s="363"/>
      <c r="G58" s="363"/>
      <c r="H58" s="363"/>
      <c r="I58" s="363"/>
      <c r="J58" s="420"/>
      <c r="K58" s="121"/>
      <c r="L58" s="122"/>
      <c r="M58" s="123"/>
    </row>
    <row r="59" spans="1:13" ht="26.25" customHeight="1" x14ac:dyDescent="0.2">
      <c r="A59" s="3"/>
      <c r="B59" s="3"/>
      <c r="C59" s="3"/>
      <c r="D59" s="3"/>
      <c r="E59" s="6"/>
      <c r="F59" s="6"/>
      <c r="G59" s="6"/>
      <c r="H59" s="8"/>
      <c r="I59" s="8"/>
      <c r="J59" s="8"/>
    </row>
  </sheetData>
  <mergeCells count="110">
    <mergeCell ref="E58:J58"/>
    <mergeCell ref="I47:M47"/>
    <mergeCell ref="H55:J56"/>
    <mergeCell ref="A43:H44"/>
    <mergeCell ref="A45:H45"/>
    <mergeCell ref="A46:H47"/>
    <mergeCell ref="I51:M51"/>
    <mergeCell ref="A52:D52"/>
    <mergeCell ref="A53:D55"/>
    <mergeCell ref="E57:F57"/>
    <mergeCell ref="H57:J57"/>
    <mergeCell ref="H54:J54"/>
    <mergeCell ref="E55:F56"/>
    <mergeCell ref="G55:G56"/>
    <mergeCell ref="G52:J52"/>
    <mergeCell ref="E54:F54"/>
    <mergeCell ref="T37:V37"/>
    <mergeCell ref="T38:V38"/>
    <mergeCell ref="T39:V40"/>
    <mergeCell ref="Q37:R37"/>
    <mergeCell ref="Q38:R38"/>
    <mergeCell ref="S39:S40"/>
    <mergeCell ref="K52:M52"/>
    <mergeCell ref="K53:M55"/>
    <mergeCell ref="K56:M56"/>
    <mergeCell ref="G37:K37"/>
    <mergeCell ref="G42:K42"/>
    <mergeCell ref="G40:K40"/>
    <mergeCell ref="A48:M48"/>
    <mergeCell ref="I49:M50"/>
    <mergeCell ref="G41:K41"/>
    <mergeCell ref="G38:K38"/>
    <mergeCell ref="A49:H51"/>
    <mergeCell ref="I43:M44"/>
    <mergeCell ref="I45:M46"/>
    <mergeCell ref="G39:K39"/>
    <mergeCell ref="G35:K35"/>
    <mergeCell ref="G36:K36"/>
    <mergeCell ref="F27:G27"/>
    <mergeCell ref="F28:G28"/>
    <mergeCell ref="F30:G30"/>
    <mergeCell ref="A31:M31"/>
    <mergeCell ref="G32:K32"/>
    <mergeCell ref="G33:K33"/>
    <mergeCell ref="L32:M32"/>
    <mergeCell ref="A32:B32"/>
    <mergeCell ref="C32:D32"/>
    <mergeCell ref="E32:E33"/>
    <mergeCell ref="F32:F33"/>
    <mergeCell ref="J27:M27"/>
    <mergeCell ref="A30:D30"/>
    <mergeCell ref="G34:K34"/>
    <mergeCell ref="F25:G25"/>
    <mergeCell ref="F26:G26"/>
    <mergeCell ref="J23:M23"/>
    <mergeCell ref="J24:M24"/>
    <mergeCell ref="J25:M25"/>
    <mergeCell ref="J26:M26"/>
    <mergeCell ref="A28:D28"/>
    <mergeCell ref="J30:M30"/>
    <mergeCell ref="F23:G23"/>
    <mergeCell ref="F24:G24"/>
    <mergeCell ref="A23:D23"/>
    <mergeCell ref="E8:H8"/>
    <mergeCell ref="A11:E11"/>
    <mergeCell ref="A4:H4"/>
    <mergeCell ref="A5:H5"/>
    <mergeCell ref="A26:D26"/>
    <mergeCell ref="A27:D27"/>
    <mergeCell ref="K17:M18"/>
    <mergeCell ref="I15:M15"/>
    <mergeCell ref="A15:H15"/>
    <mergeCell ref="J20:M21"/>
    <mergeCell ref="H20:I20"/>
    <mergeCell ref="I17:J17"/>
    <mergeCell ref="I18:J18"/>
    <mergeCell ref="I16:M16"/>
    <mergeCell ref="A24:D24"/>
    <mergeCell ref="A25:D25"/>
    <mergeCell ref="J22:M22"/>
    <mergeCell ref="A19:M19"/>
    <mergeCell ref="A20:D21"/>
    <mergeCell ref="E20:E21"/>
    <mergeCell ref="F20:G21"/>
    <mergeCell ref="F22:G22"/>
    <mergeCell ref="A22:D22"/>
    <mergeCell ref="C10:G10"/>
    <mergeCell ref="F17:H17"/>
    <mergeCell ref="I11:J11"/>
    <mergeCell ref="B1:C1"/>
    <mergeCell ref="B58:C58"/>
    <mergeCell ref="H30:I30"/>
    <mergeCell ref="A2:H2"/>
    <mergeCell ref="L1:M1"/>
    <mergeCell ref="A13:H13"/>
    <mergeCell ref="A6:E6"/>
    <mergeCell ref="A3:H3"/>
    <mergeCell ref="F6:G6"/>
    <mergeCell ref="I4:M6"/>
    <mergeCell ref="I12:M14"/>
    <mergeCell ref="I8:M8"/>
    <mergeCell ref="A12:H12"/>
    <mergeCell ref="F11:G11"/>
    <mergeCell ref="A29:D29"/>
    <mergeCell ref="F29:G29"/>
    <mergeCell ref="A7:H7"/>
    <mergeCell ref="H21:I21"/>
    <mergeCell ref="A14:H14"/>
    <mergeCell ref="J28:M28"/>
    <mergeCell ref="J29:M29"/>
  </mergeCells>
  <phoneticPr fontId="5" type="noConversion"/>
  <pageMargins left="0.25" right="0.26" top="0.52" bottom="0.56000000000000005" header="0.5" footer="0.5"/>
  <pageSetup orientation="portrait"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EF17896-8669-4AD8-94BE-BA18AA09DA67}">
          <x14:formula1>
            <xm:f>ADDRESS!$A$2:$A$30</xm:f>
          </x14:formula1>
          <xm:sqref>B8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D7E88-64F3-46D1-93E5-B41D536177D5}">
  <dimension ref="A1:I30"/>
  <sheetViews>
    <sheetView tabSelected="1" workbookViewId="0">
      <selection activeCell="H1" sqref="H1:I5"/>
    </sheetView>
  </sheetViews>
  <sheetFormatPr defaultRowHeight="12.75" x14ac:dyDescent="0.2"/>
  <cols>
    <col min="1" max="1" width="16.7109375" bestFit="1" customWidth="1"/>
    <col min="2" max="2" width="28.85546875" bestFit="1" customWidth="1"/>
    <col min="3" max="3" width="18.28515625" bestFit="1" customWidth="1"/>
    <col min="8" max="8" width="13.5703125" bestFit="1" customWidth="1"/>
    <col min="9" max="9" width="19.85546875" bestFit="1" customWidth="1"/>
  </cols>
  <sheetData>
    <row r="1" spans="1:9" x14ac:dyDescent="0.2">
      <c r="A1" s="52" t="s">
        <v>188</v>
      </c>
      <c r="B1" s="52" t="s">
        <v>189</v>
      </c>
      <c r="C1" s="52" t="s">
        <v>190</v>
      </c>
      <c r="D1" s="52" t="s">
        <v>191</v>
      </c>
      <c r="E1" s="52" t="s">
        <v>192</v>
      </c>
      <c r="H1" s="440" t="s">
        <v>226</v>
      </c>
      <c r="I1" s="440" t="s">
        <v>227</v>
      </c>
    </row>
    <row r="2" spans="1:9" x14ac:dyDescent="0.2">
      <c r="A2" t="s">
        <v>78</v>
      </c>
      <c r="B2" t="s">
        <v>79</v>
      </c>
      <c r="C2" t="s">
        <v>80</v>
      </c>
      <c r="D2" t="s">
        <v>81</v>
      </c>
      <c r="E2">
        <v>92336</v>
      </c>
      <c r="H2" s="440" t="s">
        <v>230</v>
      </c>
      <c r="I2" s="440" t="s">
        <v>231</v>
      </c>
    </row>
    <row r="3" spans="1:9" x14ac:dyDescent="0.2">
      <c r="A3" t="s">
        <v>82</v>
      </c>
      <c r="B3" t="s">
        <v>83</v>
      </c>
      <c r="C3" t="s">
        <v>84</v>
      </c>
      <c r="D3" t="s">
        <v>85</v>
      </c>
      <c r="E3">
        <v>81001</v>
      </c>
      <c r="H3" s="440" t="s">
        <v>228</v>
      </c>
      <c r="I3" s="440">
        <v>10285609</v>
      </c>
    </row>
    <row r="4" spans="1:9" x14ac:dyDescent="0.2">
      <c r="A4" t="s">
        <v>86</v>
      </c>
      <c r="B4" t="s">
        <v>87</v>
      </c>
      <c r="C4" t="s">
        <v>88</v>
      </c>
      <c r="D4" t="s">
        <v>89</v>
      </c>
      <c r="E4">
        <v>24477</v>
      </c>
      <c r="H4" s="440" t="s">
        <v>229</v>
      </c>
      <c r="I4" s="441">
        <v>523953410</v>
      </c>
    </row>
    <row r="5" spans="1:9" x14ac:dyDescent="0.2">
      <c r="A5" s="52" t="s">
        <v>90</v>
      </c>
      <c r="B5" t="s">
        <v>91</v>
      </c>
      <c r="C5" t="s">
        <v>92</v>
      </c>
      <c r="D5" t="s">
        <v>93</v>
      </c>
      <c r="E5">
        <v>55432</v>
      </c>
      <c r="H5" s="440" t="s">
        <v>236</v>
      </c>
      <c r="I5" s="442">
        <v>59642884</v>
      </c>
    </row>
    <row r="6" spans="1:9" x14ac:dyDescent="0.2">
      <c r="A6" t="s">
        <v>94</v>
      </c>
      <c r="B6" t="s">
        <v>95</v>
      </c>
      <c r="C6" t="s">
        <v>96</v>
      </c>
      <c r="D6" t="s">
        <v>81</v>
      </c>
      <c r="E6">
        <v>95776</v>
      </c>
    </row>
    <row r="7" spans="1:9" x14ac:dyDescent="0.2">
      <c r="A7" t="s">
        <v>97</v>
      </c>
      <c r="B7" t="s">
        <v>98</v>
      </c>
      <c r="C7" t="s">
        <v>99</v>
      </c>
      <c r="D7" t="s">
        <v>100</v>
      </c>
      <c r="E7">
        <v>31793</v>
      </c>
    </row>
    <row r="8" spans="1:9" x14ac:dyDescent="0.2">
      <c r="A8" t="s">
        <v>101</v>
      </c>
      <c r="B8" t="s">
        <v>102</v>
      </c>
      <c r="C8" t="s">
        <v>103</v>
      </c>
      <c r="D8" t="s">
        <v>104</v>
      </c>
      <c r="E8">
        <v>53066</v>
      </c>
    </row>
    <row r="9" spans="1:9" x14ac:dyDescent="0.2">
      <c r="A9" t="s">
        <v>105</v>
      </c>
      <c r="B9" t="s">
        <v>106</v>
      </c>
      <c r="C9" t="s">
        <v>107</v>
      </c>
      <c r="D9" t="s">
        <v>108</v>
      </c>
      <c r="E9">
        <v>97321</v>
      </c>
    </row>
    <row r="10" spans="1:9" x14ac:dyDescent="0.2">
      <c r="A10" t="s">
        <v>109</v>
      </c>
      <c r="B10" t="s">
        <v>110</v>
      </c>
      <c r="C10" t="s">
        <v>111</v>
      </c>
      <c r="D10" t="s">
        <v>112</v>
      </c>
      <c r="E10">
        <v>46231</v>
      </c>
    </row>
    <row r="11" spans="1:9" x14ac:dyDescent="0.2">
      <c r="A11" t="s">
        <v>113</v>
      </c>
      <c r="B11" t="s">
        <v>114</v>
      </c>
      <c r="C11" t="s">
        <v>115</v>
      </c>
      <c r="D11" t="s">
        <v>116</v>
      </c>
      <c r="E11">
        <v>75706</v>
      </c>
    </row>
    <row r="12" spans="1:9" x14ac:dyDescent="0.2">
      <c r="A12" t="s">
        <v>117</v>
      </c>
      <c r="B12" t="s">
        <v>118</v>
      </c>
      <c r="C12" t="s">
        <v>119</v>
      </c>
      <c r="D12" t="s">
        <v>120</v>
      </c>
      <c r="E12">
        <v>12831</v>
      </c>
    </row>
    <row r="13" spans="1:9" x14ac:dyDescent="0.2">
      <c r="A13" t="s">
        <v>121</v>
      </c>
      <c r="B13" t="s">
        <v>122</v>
      </c>
      <c r="C13" t="s">
        <v>123</v>
      </c>
      <c r="D13" t="s">
        <v>124</v>
      </c>
      <c r="E13">
        <v>35756</v>
      </c>
    </row>
    <row r="14" spans="1:9" x14ac:dyDescent="0.2">
      <c r="A14" t="s">
        <v>125</v>
      </c>
      <c r="B14" t="s">
        <v>126</v>
      </c>
      <c r="C14" t="s">
        <v>127</v>
      </c>
      <c r="D14" t="s">
        <v>128</v>
      </c>
      <c r="E14">
        <v>49053</v>
      </c>
    </row>
    <row r="15" spans="1:9" x14ac:dyDescent="0.2">
      <c r="A15" t="s">
        <v>129</v>
      </c>
      <c r="B15" t="s">
        <v>130</v>
      </c>
      <c r="C15" t="s">
        <v>131</v>
      </c>
      <c r="D15" t="s">
        <v>132</v>
      </c>
      <c r="E15">
        <v>85043</v>
      </c>
    </row>
    <row r="16" spans="1:9" x14ac:dyDescent="0.2">
      <c r="A16" t="s">
        <v>133</v>
      </c>
      <c r="B16" t="s">
        <v>134</v>
      </c>
      <c r="C16" t="s">
        <v>135</v>
      </c>
      <c r="D16" t="s">
        <v>136</v>
      </c>
      <c r="E16">
        <v>17202</v>
      </c>
    </row>
    <row r="17" spans="1:5" x14ac:dyDescent="0.2">
      <c r="A17" t="s">
        <v>137</v>
      </c>
      <c r="B17" t="s">
        <v>138</v>
      </c>
      <c r="C17" t="s">
        <v>139</v>
      </c>
      <c r="D17" t="s">
        <v>140</v>
      </c>
      <c r="E17">
        <v>50613</v>
      </c>
    </row>
    <row r="18" spans="1:5" x14ac:dyDescent="0.2">
      <c r="A18" t="s">
        <v>141</v>
      </c>
      <c r="B18" t="s">
        <v>142</v>
      </c>
      <c r="C18" t="s">
        <v>143</v>
      </c>
      <c r="D18" t="s">
        <v>81</v>
      </c>
      <c r="E18">
        <v>93263</v>
      </c>
    </row>
    <row r="19" spans="1:5" x14ac:dyDescent="0.2">
      <c r="A19" t="s">
        <v>144</v>
      </c>
      <c r="B19" t="s">
        <v>145</v>
      </c>
      <c r="C19" t="s">
        <v>146</v>
      </c>
      <c r="D19" t="s">
        <v>147</v>
      </c>
      <c r="E19">
        <v>29078</v>
      </c>
    </row>
    <row r="20" spans="1:5" x14ac:dyDescent="0.2">
      <c r="A20" t="s">
        <v>148</v>
      </c>
      <c r="B20" t="s">
        <v>149</v>
      </c>
      <c r="C20" t="s">
        <v>150</v>
      </c>
      <c r="D20" t="s">
        <v>116</v>
      </c>
      <c r="E20">
        <v>76065</v>
      </c>
    </row>
    <row r="21" spans="1:5" x14ac:dyDescent="0.2">
      <c r="A21" t="s">
        <v>151</v>
      </c>
      <c r="B21" t="s">
        <v>152</v>
      </c>
      <c r="C21" t="s">
        <v>153</v>
      </c>
      <c r="D21" t="s">
        <v>120</v>
      </c>
      <c r="E21">
        <v>12010</v>
      </c>
    </row>
    <row r="22" spans="1:5" x14ac:dyDescent="0.2">
      <c r="A22" t="s">
        <v>154</v>
      </c>
      <c r="B22" t="s">
        <v>155</v>
      </c>
      <c r="C22" t="s">
        <v>156</v>
      </c>
      <c r="D22" t="s">
        <v>157</v>
      </c>
      <c r="E22">
        <v>66609</v>
      </c>
    </row>
    <row r="23" spans="1:5" x14ac:dyDescent="0.2">
      <c r="A23" t="s">
        <v>158</v>
      </c>
      <c r="B23" t="s">
        <v>159</v>
      </c>
      <c r="C23" t="s">
        <v>160</v>
      </c>
      <c r="D23" t="s">
        <v>161</v>
      </c>
      <c r="E23">
        <v>43162</v>
      </c>
    </row>
    <row r="24" spans="1:5" x14ac:dyDescent="0.2">
      <c r="A24" t="s">
        <v>162</v>
      </c>
      <c r="B24" t="s">
        <v>163</v>
      </c>
      <c r="C24" t="s">
        <v>164</v>
      </c>
      <c r="D24" t="s">
        <v>81</v>
      </c>
      <c r="E24">
        <v>92376</v>
      </c>
    </row>
    <row r="25" spans="1:5" x14ac:dyDescent="0.2">
      <c r="A25" t="s">
        <v>165</v>
      </c>
      <c r="B25" t="s">
        <v>166</v>
      </c>
      <c r="C25" t="s">
        <v>167</v>
      </c>
      <c r="D25" t="s">
        <v>100</v>
      </c>
      <c r="E25">
        <v>31320</v>
      </c>
    </row>
    <row r="26" spans="1:5" x14ac:dyDescent="0.2">
      <c r="A26" t="s">
        <v>168</v>
      </c>
      <c r="B26" t="s">
        <v>169</v>
      </c>
      <c r="C26" t="s">
        <v>170</v>
      </c>
      <c r="D26" t="s">
        <v>171</v>
      </c>
      <c r="E26" t="s">
        <v>172</v>
      </c>
    </row>
    <row r="27" spans="1:5" x14ac:dyDescent="0.2">
      <c r="A27" t="s">
        <v>173</v>
      </c>
      <c r="B27" t="s">
        <v>174</v>
      </c>
      <c r="C27" t="s">
        <v>175</v>
      </c>
      <c r="D27" t="s">
        <v>81</v>
      </c>
      <c r="E27">
        <v>92518</v>
      </c>
    </row>
    <row r="28" spans="1:5" x14ac:dyDescent="0.2">
      <c r="A28" t="s">
        <v>176</v>
      </c>
      <c r="B28" t="s">
        <v>177</v>
      </c>
      <c r="C28" t="s">
        <v>178</v>
      </c>
      <c r="D28" t="s">
        <v>179</v>
      </c>
      <c r="E28" t="s">
        <v>180</v>
      </c>
    </row>
    <row r="29" spans="1:5" x14ac:dyDescent="0.2">
      <c r="A29" t="s">
        <v>181</v>
      </c>
      <c r="B29" t="s">
        <v>182</v>
      </c>
      <c r="C29" t="s">
        <v>183</v>
      </c>
      <c r="D29" t="s">
        <v>184</v>
      </c>
      <c r="E29">
        <v>60623</v>
      </c>
    </row>
    <row r="30" spans="1:5" x14ac:dyDescent="0.2">
      <c r="A30" t="s">
        <v>185</v>
      </c>
      <c r="B30" t="s">
        <v>186</v>
      </c>
      <c r="C30" t="s">
        <v>187</v>
      </c>
      <c r="D30" t="s">
        <v>100</v>
      </c>
      <c r="E30">
        <v>30228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692DB-4271-4A63-8630-0427F5F0CBED}">
  <dimension ref="A2:D32"/>
  <sheetViews>
    <sheetView workbookViewId="0">
      <selection activeCell="C3" sqref="C3:C10"/>
    </sheetView>
  </sheetViews>
  <sheetFormatPr defaultRowHeight="12.75" x14ac:dyDescent="0.2"/>
  <cols>
    <col min="1" max="1" width="16.7109375" bestFit="1" customWidth="1"/>
    <col min="2" max="2" width="17.42578125" bestFit="1" customWidth="1"/>
    <col min="3" max="3" width="21.140625" bestFit="1" customWidth="1"/>
    <col min="4" max="4" width="19.140625" bestFit="1" customWidth="1"/>
  </cols>
  <sheetData>
    <row r="2" spans="1:4" x14ac:dyDescent="0.2">
      <c r="B2" t="s">
        <v>194</v>
      </c>
      <c r="C2" t="s">
        <v>195</v>
      </c>
      <c r="D2" t="s">
        <v>196</v>
      </c>
    </row>
    <row r="3" spans="1:4" x14ac:dyDescent="0.2">
      <c r="A3" s="52" t="s">
        <v>90</v>
      </c>
      <c r="B3" t="s">
        <v>197</v>
      </c>
      <c r="C3">
        <v>40</v>
      </c>
      <c r="D3">
        <v>40</v>
      </c>
    </row>
    <row r="4" spans="1:4" x14ac:dyDescent="0.2">
      <c r="A4" t="s">
        <v>78</v>
      </c>
      <c r="B4" t="s">
        <v>198</v>
      </c>
      <c r="C4">
        <v>38</v>
      </c>
      <c r="D4">
        <v>38</v>
      </c>
    </row>
    <row r="5" spans="1:4" x14ac:dyDescent="0.2">
      <c r="A5" t="s">
        <v>82</v>
      </c>
      <c r="B5" t="s">
        <v>199</v>
      </c>
      <c r="C5">
        <v>59</v>
      </c>
      <c r="D5">
        <v>59</v>
      </c>
    </row>
    <row r="6" spans="1:4" x14ac:dyDescent="0.2">
      <c r="A6" t="s">
        <v>94</v>
      </c>
      <c r="B6" t="s">
        <v>200</v>
      </c>
      <c r="C6">
        <v>81</v>
      </c>
      <c r="D6">
        <v>81</v>
      </c>
    </row>
    <row r="7" spans="1:4" x14ac:dyDescent="0.2">
      <c r="A7" t="s">
        <v>97</v>
      </c>
      <c r="B7" t="s">
        <v>201</v>
      </c>
      <c r="C7">
        <v>70</v>
      </c>
      <c r="D7">
        <v>70</v>
      </c>
    </row>
    <row r="8" spans="1:4" x14ac:dyDescent="0.2">
      <c r="A8" t="s">
        <v>101</v>
      </c>
      <c r="B8" t="s">
        <v>202</v>
      </c>
      <c r="C8">
        <v>62</v>
      </c>
      <c r="D8">
        <v>62</v>
      </c>
    </row>
    <row r="9" spans="1:4" x14ac:dyDescent="0.2">
      <c r="A9" t="s">
        <v>105</v>
      </c>
      <c r="B9" t="s">
        <v>203</v>
      </c>
      <c r="C9">
        <v>66</v>
      </c>
      <c r="D9">
        <v>66</v>
      </c>
    </row>
    <row r="10" spans="1:4" x14ac:dyDescent="0.2">
      <c r="A10" t="s">
        <v>109</v>
      </c>
      <c r="B10" t="s">
        <v>204</v>
      </c>
      <c r="C10">
        <v>65</v>
      </c>
      <c r="D10">
        <v>65</v>
      </c>
    </row>
    <row r="11" spans="1:4" x14ac:dyDescent="0.2">
      <c r="A11" t="s">
        <v>86</v>
      </c>
      <c r="B11" t="s">
        <v>205</v>
      </c>
      <c r="C11">
        <v>61</v>
      </c>
      <c r="D11">
        <v>61</v>
      </c>
    </row>
    <row r="12" spans="1:4" x14ac:dyDescent="0.2">
      <c r="A12" t="s">
        <v>113</v>
      </c>
      <c r="B12" t="s">
        <v>206</v>
      </c>
      <c r="C12">
        <v>83</v>
      </c>
      <c r="D12">
        <v>83</v>
      </c>
    </row>
    <row r="13" spans="1:4" x14ac:dyDescent="0.2">
      <c r="A13" t="s">
        <v>117</v>
      </c>
      <c r="B13" t="s">
        <v>207</v>
      </c>
      <c r="C13">
        <v>70</v>
      </c>
      <c r="D13">
        <v>70</v>
      </c>
    </row>
    <row r="14" spans="1:4" x14ac:dyDescent="0.2">
      <c r="A14" t="s">
        <v>121</v>
      </c>
      <c r="B14" t="s">
        <v>208</v>
      </c>
      <c r="C14">
        <v>50</v>
      </c>
      <c r="D14">
        <v>50</v>
      </c>
    </row>
    <row r="15" spans="1:4" x14ac:dyDescent="0.2">
      <c r="A15" t="s">
        <v>125</v>
      </c>
      <c r="B15" t="s">
        <v>209</v>
      </c>
      <c r="C15">
        <v>70</v>
      </c>
      <c r="D15">
        <v>70</v>
      </c>
    </row>
    <row r="16" spans="1:4" x14ac:dyDescent="0.2">
      <c r="A16" t="s">
        <v>129</v>
      </c>
      <c r="B16" t="s">
        <v>210</v>
      </c>
      <c r="C16">
        <v>69</v>
      </c>
      <c r="D16">
        <v>69</v>
      </c>
    </row>
    <row r="17" spans="1:4" x14ac:dyDescent="0.2">
      <c r="A17" t="s">
        <v>133</v>
      </c>
      <c r="B17" t="s">
        <v>211</v>
      </c>
      <c r="C17">
        <v>54</v>
      </c>
      <c r="D17">
        <v>54</v>
      </c>
    </row>
    <row r="18" spans="1:4" x14ac:dyDescent="0.2">
      <c r="A18" t="s">
        <v>137</v>
      </c>
      <c r="B18" t="s">
        <v>212</v>
      </c>
      <c r="C18">
        <v>65</v>
      </c>
      <c r="D18">
        <v>65</v>
      </c>
    </row>
    <row r="19" spans="1:4" x14ac:dyDescent="0.2">
      <c r="A19" t="s">
        <v>141</v>
      </c>
      <c r="B19" t="s">
        <v>213</v>
      </c>
      <c r="C19">
        <v>65</v>
      </c>
      <c r="D19">
        <v>65</v>
      </c>
    </row>
    <row r="20" spans="1:4" x14ac:dyDescent="0.2">
      <c r="A20" t="s">
        <v>144</v>
      </c>
      <c r="B20" t="s">
        <v>214</v>
      </c>
      <c r="C20">
        <v>70</v>
      </c>
      <c r="D20">
        <v>70</v>
      </c>
    </row>
    <row r="21" spans="1:4" x14ac:dyDescent="0.2">
      <c r="A21" t="s">
        <v>148</v>
      </c>
      <c r="B21" t="s">
        <v>215</v>
      </c>
      <c r="C21">
        <v>55</v>
      </c>
      <c r="D21">
        <v>55</v>
      </c>
    </row>
    <row r="22" spans="1:4" x14ac:dyDescent="0.2">
      <c r="A22" t="s">
        <v>151</v>
      </c>
      <c r="B22" t="s">
        <v>216</v>
      </c>
      <c r="C22">
        <v>54</v>
      </c>
      <c r="D22">
        <v>54</v>
      </c>
    </row>
    <row r="23" spans="1:4" x14ac:dyDescent="0.2">
      <c r="A23" t="s">
        <v>154</v>
      </c>
      <c r="B23" t="s">
        <v>217</v>
      </c>
      <c r="C23">
        <v>76</v>
      </c>
      <c r="D23">
        <v>76</v>
      </c>
    </row>
    <row r="24" spans="1:4" x14ac:dyDescent="0.2">
      <c r="A24" t="s">
        <v>158</v>
      </c>
      <c r="B24" t="s">
        <v>218</v>
      </c>
      <c r="C24">
        <v>76</v>
      </c>
      <c r="D24">
        <v>76</v>
      </c>
    </row>
    <row r="25" spans="1:4" x14ac:dyDescent="0.2">
      <c r="A25" t="s">
        <v>162</v>
      </c>
      <c r="B25" t="s">
        <v>219</v>
      </c>
      <c r="C25">
        <v>65</v>
      </c>
      <c r="D25">
        <v>65</v>
      </c>
    </row>
    <row r="26" spans="1:4" x14ac:dyDescent="0.2">
      <c r="A26" t="s">
        <v>165</v>
      </c>
      <c r="B26" t="s">
        <v>220</v>
      </c>
      <c r="C26">
        <v>56</v>
      </c>
      <c r="D26">
        <v>56</v>
      </c>
    </row>
    <row r="27" spans="1:4" x14ac:dyDescent="0.2">
      <c r="A27" t="s">
        <v>168</v>
      </c>
      <c r="B27" t="s">
        <v>221</v>
      </c>
      <c r="C27">
        <v>83</v>
      </c>
      <c r="D27">
        <v>83</v>
      </c>
    </row>
    <row r="28" spans="1:4" x14ac:dyDescent="0.2">
      <c r="A28" t="s">
        <v>173</v>
      </c>
      <c r="B28" t="s">
        <v>222</v>
      </c>
      <c r="C28">
        <v>27</v>
      </c>
      <c r="D28">
        <v>27</v>
      </c>
    </row>
    <row r="29" spans="1:4" x14ac:dyDescent="0.2">
      <c r="A29" t="s">
        <v>176</v>
      </c>
      <c r="B29" t="s">
        <v>223</v>
      </c>
      <c r="C29">
        <v>16</v>
      </c>
      <c r="D29">
        <v>16</v>
      </c>
    </row>
    <row r="30" spans="1:4" x14ac:dyDescent="0.2">
      <c r="A30" t="s">
        <v>181</v>
      </c>
      <c r="B30" t="s">
        <v>224</v>
      </c>
      <c r="C30">
        <v>26</v>
      </c>
      <c r="D30">
        <v>26</v>
      </c>
    </row>
    <row r="31" spans="1:4" x14ac:dyDescent="0.2">
      <c r="A31" t="s">
        <v>185</v>
      </c>
      <c r="B31" t="s">
        <v>225</v>
      </c>
      <c r="C31">
        <v>16</v>
      </c>
      <c r="D31">
        <v>16</v>
      </c>
    </row>
    <row r="32" spans="1:4" x14ac:dyDescent="0.2">
      <c r="B32" s="52" t="s">
        <v>22</v>
      </c>
      <c r="C32">
        <f>SUM(C3:C31)</f>
        <v>1688</v>
      </c>
      <c r="D32">
        <f>SUM(D3:D31)</f>
        <v>1688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 BOL</vt:lpstr>
      <vt:lpstr>Supplimental Master BOL</vt:lpstr>
      <vt:lpstr>Supplemental BOL</vt:lpstr>
      <vt:lpstr>ADDRESS</vt:lpstr>
      <vt:lpstr>Customer Order Info</vt:lpstr>
    </vt:vector>
  </TitlesOfParts>
  <Company>NFI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office 13</cp:lastModifiedBy>
  <cp:lastPrinted>2024-09-18T18:02:50Z</cp:lastPrinted>
  <dcterms:created xsi:type="dcterms:W3CDTF">2009-10-05T14:28:38Z</dcterms:created>
  <dcterms:modified xsi:type="dcterms:W3CDTF">2025-08-08T00:21:17Z</dcterms:modified>
</cp:coreProperties>
</file>