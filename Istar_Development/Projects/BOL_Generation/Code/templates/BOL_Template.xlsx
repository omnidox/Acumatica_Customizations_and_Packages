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3C077439-9008-482F-9B8A-C0AC7C780BDA}" xr6:coauthVersionLast="47" xr6:coauthVersionMax="47" xr10:uidLastSave="{00000000-0000-0000-0000-000000000000}"/>
  <bookViews>
    <workbookView xWindow="3705" yWindow="5430" windowWidth="28800" windowHeight="15345" xr2:uid="{888CA347-7849-4038-B8EE-FAC87BA1B844}"/>
  </bookViews>
  <sheets>
    <sheet name="BOL" sheetId="3" r:id="rId1"/>
    <sheet name="Supplimental Master BOL" sheetId="4" r:id="rId2"/>
    <sheet name="Supplemental BOL" sheetId="1" r:id="rId3"/>
    <sheet name="ADDRESS" sheetId="5" r:id="rId4"/>
    <sheet name="Customer Order Info"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 i="3" l="1"/>
  <c r="E30" i="3"/>
  <c r="B58" i="1"/>
  <c r="A22" i="1"/>
  <c r="F22" i="1" s="1"/>
  <c r="F30" i="1" s="1"/>
  <c r="K7" i="1"/>
  <c r="K9" i="1"/>
  <c r="J10" i="1"/>
  <c r="K11" i="1"/>
  <c r="F17" i="1"/>
  <c r="F16" i="3"/>
  <c r="K11" i="3"/>
  <c r="J10" i="3"/>
  <c r="K9" i="3"/>
  <c r="K7" i="3"/>
  <c r="C10" i="1"/>
  <c r="B9" i="1"/>
  <c r="D32" i="6"/>
  <c r="C32" i="6"/>
  <c r="F50" i="4"/>
  <c r="E50" i="4"/>
  <c r="E34" i="1" l="1"/>
  <c r="E42" i="1" s="1"/>
  <c r="C34" i="1"/>
  <c r="C42" i="1" s="1"/>
  <c r="E22" i="1"/>
  <c r="E30" i="1" s="1"/>
  <c r="A34" i="1" s="1"/>
  <c r="A42" i="1" s="1"/>
</calcChain>
</file>

<file path=xl/sharedStrings.xml><?xml version="1.0" encoding="utf-8"?>
<sst xmlns="http://schemas.openxmlformats.org/spreadsheetml/2006/main" count="437" uniqueCount="239">
  <si>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</si>
  <si>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</si>
  <si>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</si>
  <si>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</si>
  <si>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</si>
  <si>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</si>
  <si>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</si>
  <si>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</si>
  <si>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</si>
  <si>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</si>
  <si>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</si>
  <si>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</si>
  <si>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</si>
  <si>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</si>
  <si>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</si>
  <si>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</si>
  <si>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</si>
  <si>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</si>
  <si>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</si>
  <si>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</si>
  <si>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</si>
  <si>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</si>
  <si>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</si>
  <si>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</si>
  <si>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</si>
  <si>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</si>
  <si>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</si>
  <si>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</si>
  <si>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</si>
  <si>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</si>
  <si>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</si>
  <si>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</si>
  <si>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Where the rate is dependent on value, shippers are required to state spacificly in writing the agreed or declared value of the property as follows:</t>
  </si>
  <si>
    <t>"The agreed or declared value of the property is specifically stated by shipper to be not exceeding</t>
  </si>
  <si>
    <t>_____________ per_____________."</t>
  </si>
  <si>
    <t>COD Amount: $___________________</t>
  </si>
  <si>
    <t>Fee Terms:     Collect:             Prepaid:</t>
  </si>
  <si>
    <t xml:space="preserve">Customer check acceptable: </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</si>
  <si>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</si>
  <si>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</si>
  <si>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</si>
  <si>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</si>
  <si>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</si>
  <si>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</si>
  <si>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</si>
  <si>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</si>
  <si>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</si>
  <si>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 xml:space="preserve">By Driver   </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</si>
  <si>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</si>
  <si>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</si>
  <si>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</si>
  <si>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</si>
  <si>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</si>
  <si>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</si>
  <si>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</si>
  <si>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</si>
  <si>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</si>
  <si>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</si>
  <si>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</si>
  <si>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</si>
  <si>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</si>
  <si>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r>
      <t>Prepaid______      Collect_</t>
    </r>
    <r>
      <rPr>
        <b/>
        <u/>
        <sz val="9"/>
        <rFont val="Arial"/>
        <family val="2"/>
      </rPr>
      <t>_X__</t>
    </r>
    <r>
      <rPr>
        <b/>
        <sz val="9"/>
        <rFont val="Arial"/>
        <family val="2"/>
      </rPr>
      <t>_      3rd Party______</t>
    </r>
  </si>
  <si>
    <t>Page 1 of 2</t>
  </si>
  <si>
    <t>Page 2 of 2</t>
  </si>
  <si>
    <t>Address: 34 Maple Ave.</t>
  </si>
  <si>
    <t>City/State/Zip: Pine Brook, NJ 07058</t>
  </si>
  <si>
    <t>Name: iStar (Roman &amp; Sunstone)</t>
  </si>
  <si>
    <t>Name: Target/NFI Consolidation</t>
  </si>
  <si>
    <t>Pallets</t>
  </si>
  <si>
    <t>City/State/Zip: Breinigville, PA 18031</t>
  </si>
  <si>
    <t>Mix Pallets - Commodity as jewelry</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</si>
  <si>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</si>
  <si>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</si>
  <si>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</si>
  <si>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</si>
  <si>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</si>
  <si>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</si>
  <si>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</si>
  <si>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TARGET  DC 0553</t>
  </si>
  <si>
    <t>7895 REDWOOD AVE</t>
  </si>
  <si>
    <t>FONTANA</t>
  </si>
  <si>
    <t>CA</t>
  </si>
  <si>
    <t>TARGET  DC 0554</t>
  </si>
  <si>
    <t>34800 UNITED AVE</t>
  </si>
  <si>
    <t>PUEBLO</t>
  </si>
  <si>
    <t>CO</t>
  </si>
  <si>
    <t>TARGET  DC 0560</t>
  </si>
  <si>
    <t>423 MOUNT VERNON RD</t>
  </si>
  <si>
    <t>STUARTS DRAFT</t>
  </si>
  <si>
    <t>VA</t>
  </si>
  <si>
    <t>TARGET DC 0551</t>
  </si>
  <si>
    <t>7120 HWY 65 NE</t>
  </si>
  <si>
    <t>FRIDLEY</t>
  </si>
  <si>
    <t>MN</t>
  </si>
  <si>
    <t>TARGET DC 0555</t>
  </si>
  <si>
    <t>2050 E BEAMER ST</t>
  </si>
  <si>
    <t>WOODLAND</t>
  </si>
  <si>
    <t>TARGET DC 0556</t>
  </si>
  <si>
    <t>110 W JORDAN RD</t>
  </si>
  <si>
    <t>TIFTON</t>
  </si>
  <si>
    <t>GA</t>
  </si>
  <si>
    <t>TARGET DC 0557</t>
  </si>
  <si>
    <t>1100 E VALLEY RD</t>
  </si>
  <si>
    <t>OCONOMOWOC</t>
  </si>
  <si>
    <t>WI</t>
  </si>
  <si>
    <t>TARGET DC 0558</t>
  </si>
  <si>
    <t>875 BETA DRIVE SW</t>
  </si>
  <si>
    <t>ALBANY</t>
  </si>
  <si>
    <t>OR</t>
  </si>
  <si>
    <t>TARGET DC 0559</t>
  </si>
  <si>
    <t>1350 S GIRLS SCHOOL RD</t>
  </si>
  <si>
    <t>INDIANAPOLIS</t>
  </si>
  <si>
    <t>IN</t>
  </si>
  <si>
    <t>TARGET DC 0578</t>
  </si>
  <si>
    <t>13790 Harvey Road</t>
  </si>
  <si>
    <t>TYLER</t>
  </si>
  <si>
    <t>TX</t>
  </si>
  <si>
    <t>TARGET DC 0579</t>
  </si>
  <si>
    <t>131 NORTH RD</t>
  </si>
  <si>
    <t>WILTON</t>
  </si>
  <si>
    <t>NY</t>
  </si>
  <si>
    <t>TARGET DC 0580</t>
  </si>
  <si>
    <t>6305 GREENBRIER RD</t>
  </si>
  <si>
    <t>MADISON</t>
  </si>
  <si>
    <t>AL</t>
  </si>
  <si>
    <t>TARGET DC 0587</t>
  </si>
  <si>
    <t>12905 East L Avenue</t>
  </si>
  <si>
    <t>GALESBURG</t>
  </si>
  <si>
    <t>MI</t>
  </si>
  <si>
    <t>TARGET DC 0588</t>
  </si>
  <si>
    <t>7101 W VAN BUREN</t>
  </si>
  <si>
    <t>PHOENIX</t>
  </si>
  <si>
    <t>AZ</t>
  </si>
  <si>
    <t>TARGET DC 0589</t>
  </si>
  <si>
    <t>3325 ARCHER DR</t>
  </si>
  <si>
    <t>CHAMBERSBURG</t>
  </si>
  <si>
    <t>PA</t>
  </si>
  <si>
    <t>TARGET DC 0590</t>
  </si>
  <si>
    <t>6601 HUDSON RD</t>
  </si>
  <si>
    <t>CEDAR FALLS</t>
  </si>
  <si>
    <t>IA</t>
  </si>
  <si>
    <t>TARGET DC 0593</t>
  </si>
  <si>
    <t>3700 Zachary Avenue</t>
  </si>
  <si>
    <t>SHAFTER</t>
  </si>
  <si>
    <t>TARGET DC 0594</t>
  </si>
  <si>
    <t>166 CORPORATE DR</t>
  </si>
  <si>
    <t>LUGOFF</t>
  </si>
  <si>
    <t>SC</t>
  </si>
  <si>
    <t>TARGET DC 3801</t>
  </si>
  <si>
    <t>4055 RAILPORT PKWY</t>
  </si>
  <si>
    <t>MIDLOTHIAN</t>
  </si>
  <si>
    <t>TARGET DC 3802</t>
  </si>
  <si>
    <t>1730 STATE HWY 5S</t>
  </si>
  <si>
    <t>AMSTERDAM</t>
  </si>
  <si>
    <t>TARGET DC 3803</t>
  </si>
  <si>
    <t>5400 WENGER ST</t>
  </si>
  <si>
    <t>TOPEKA</t>
  </si>
  <si>
    <t>KS</t>
  </si>
  <si>
    <t>TARGET DC 3804</t>
  </si>
  <si>
    <t>3 WALKER WAY</t>
  </si>
  <si>
    <t>WEST JEFFERSON</t>
  </si>
  <si>
    <t>OH</t>
  </si>
  <si>
    <t>TARGET DC 3806</t>
  </si>
  <si>
    <t>2702 SUMMIT AVE</t>
  </si>
  <si>
    <t>RIALTO</t>
  </si>
  <si>
    <t>TARGET DC 3808</t>
  </si>
  <si>
    <t>895 SUNBURY RD</t>
  </si>
  <si>
    <t>MIDWAY</t>
  </si>
  <si>
    <t>TARGET DC 3811</t>
  </si>
  <si>
    <t>1900 Stover Court</t>
  </si>
  <si>
    <t>NEWTON</t>
  </si>
  <si>
    <t>NC</t>
  </si>
  <si>
    <t>28658-8983</t>
  </si>
  <si>
    <t>TARGET DC 3856</t>
  </si>
  <si>
    <t>23000 Van Buren Boulevard</t>
  </si>
  <si>
    <t>Riverside</t>
  </si>
  <si>
    <t>TARGET DC 3857</t>
  </si>
  <si>
    <t>300 CREEKVIEW AVE, BLDG H</t>
  </si>
  <si>
    <t>LOGAN  TWP</t>
  </si>
  <si>
    <t>NJ</t>
  </si>
  <si>
    <t>08085</t>
  </si>
  <si>
    <t>TARGET DC 3865</t>
  </si>
  <si>
    <t>3501 S Pulaski Rd</t>
  </si>
  <si>
    <t>Chicago</t>
  </si>
  <si>
    <t>IL</t>
  </si>
  <si>
    <t>TARGET DC 3868</t>
  </si>
  <si>
    <t>1050 Site Pkwy</t>
  </si>
  <si>
    <t>Hampton</t>
  </si>
  <si>
    <t>DC</t>
  </si>
  <si>
    <t>ADDRESS</t>
  </si>
  <si>
    <t>TOWN</t>
  </si>
  <si>
    <t>STATE</t>
  </si>
  <si>
    <t>ZIP</t>
  </si>
  <si>
    <t xml:space="preserve">Bill of Lading Number: </t>
  </si>
  <si>
    <t>Row Labels</t>
  </si>
  <si>
    <t>Count of Carton Number</t>
  </si>
  <si>
    <t>Sum of Gross Weight</t>
  </si>
  <si>
    <t>0215-8880831-0551</t>
  </si>
  <si>
    <t>0215-8880831-0553</t>
  </si>
  <si>
    <t>0215-8880831-0554</t>
  </si>
  <si>
    <t>0215-8880831-0555</t>
  </si>
  <si>
    <t>0215-8880831-0556</t>
  </si>
  <si>
    <t>0215-8880831-0557</t>
  </si>
  <si>
    <t>0215-8880831-0558</t>
  </si>
  <si>
    <t>0215-8880831-0559</t>
  </si>
  <si>
    <t>0215-8880831-0560</t>
  </si>
  <si>
    <t>0215-8880831-0578</t>
  </si>
  <si>
    <t>0215-8880831-0579</t>
  </si>
  <si>
    <t>0215-8880831-0580</t>
  </si>
  <si>
    <t>0215-8880831-0587</t>
  </si>
  <si>
    <t>0215-8880831-0588</t>
  </si>
  <si>
    <t>0215-8880831-0589</t>
  </si>
  <si>
    <t>0215-8880831-0590</t>
  </si>
  <si>
    <t>0215-8880831-0593</t>
  </si>
  <si>
    <t>0215-8880831-0594</t>
  </si>
  <si>
    <t>0215-8880831-3801</t>
  </si>
  <si>
    <t>0215-8880831-3802</t>
  </si>
  <si>
    <t>0215-8880831-3803</t>
  </si>
  <si>
    <t>0215-8880831-3804</t>
  </si>
  <si>
    <t>0215-8880831-3806</t>
  </si>
  <si>
    <t>0215-8880831-3808</t>
  </si>
  <si>
    <t>0215-8880831-3811</t>
  </si>
  <si>
    <t>0215-8880831-3856</t>
  </si>
  <si>
    <t>0215-8880831-3857</t>
  </si>
  <si>
    <t>0215-8880831-3865</t>
  </si>
  <si>
    <t>0215-8880831-3868</t>
  </si>
  <si>
    <t>CARRIER</t>
  </si>
  <si>
    <t>CH Robinson</t>
  </si>
  <si>
    <t>SEAL:</t>
  </si>
  <si>
    <t>PRO #:</t>
  </si>
  <si>
    <t xml:space="preserve">SCAC: </t>
  </si>
  <si>
    <t>RBTW</t>
  </si>
  <si>
    <t xml:space="preserve">Master Bill of Lading Number: </t>
  </si>
  <si>
    <t xml:space="preserve">CARRIER NAME: </t>
  </si>
  <si>
    <t>SCAC:</t>
  </si>
  <si>
    <t xml:space="preserve">Pro number: </t>
  </si>
  <si>
    <t>TARGET Load:</t>
  </si>
  <si>
    <t>Date: 08/08/2025</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</si>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</sst>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sz val="10"/>
      <color rgb="FF2B2D31"/>
      <name val="Helvetica"/>
    </font>
  </fonts>
  <fills count="6">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
      <patternFill patternType="solid">
        <fgColor rgb="FFFFFF0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2">
    <xf numFmtId="0" fontId="0" fillId="0" borderId="0"/>
    <xf numFmtId="0" fontId="3" fillId="0" borderId="0"/>
  </cellStyleXfs>
  <cellXfs count="443">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6" fillId="0" borderId="4" xfId="0" applyFont="1" applyBorder="1" applyAlignment="1">
      <alignment horizontal="center" vertical="top"/>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2" xfId="1" applyBorder="1"/>
    <xf numFmtId="0" fontId="3" fillId="5" borderId="2" xfId="1" applyFill="1" applyBorder="1"/>
    <xf numFmtId="0" fontId="3" fillId="5" borderId="1" xfId="1" applyFill="1" applyBorder="1" applyAlignment="1">
      <alignment horizontal="center"/>
    </xf>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5" borderId="3" xfId="1" applyFill="1" applyBorder="1" applyAlignment="1">
      <alignment horizontal="center"/>
    </xf>
    <xf numFmtId="3" fontId="3" fillId="5" borderId="1" xfId="1" applyNumberFormat="1" applyFill="1" applyBorder="1" applyAlignment="1">
      <alignment horizontal="center"/>
    </xf>
    <xf numFmtId="0" fontId="3" fillId="4" borderId="1" xfId="1" applyFill="1" applyBorder="1"/>
    <xf numFmtId="0" fontId="3" fillId="4" borderId="4" xfId="1" applyFill="1" applyBorder="1"/>
    <xf numFmtId="0" fontId="3" fillId="5" borderId="1"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5" borderId="10" xfId="1" applyFill="1" applyBorder="1" applyAlignment="1">
      <alignment horizontal="center"/>
    </xf>
    <xf numFmtId="0" fontId="3" fillId="5" borderId="8" xfId="1" applyFill="1" applyBorder="1" applyAlignment="1">
      <alignment horizontal="center"/>
    </xf>
    <xf numFmtId="3" fontId="3" fillId="5" borderId="8" xfId="1" applyNumberFormat="1" applyFill="1" applyBorder="1" applyAlignment="1">
      <alignment horizontal="center"/>
    </xf>
    <xf numFmtId="0" fontId="3" fillId="5" borderId="8" xfId="1" applyFill="1" applyBorder="1"/>
    <xf numFmtId="0" fontId="3" fillId="4" borderId="8" xfId="1" applyFill="1" applyBorder="1"/>
    <xf numFmtId="0" fontId="3" fillId="4" borderId="9" xfId="1" applyFill="1" applyBorder="1"/>
    <xf numFmtId="0" fontId="15" fillId="5" borderId="11" xfId="1" applyFont="1" applyFill="1" applyBorder="1"/>
    <xf numFmtId="0" fontId="15" fillId="5" borderId="12" xfId="1" applyFont="1" applyFill="1" applyBorder="1"/>
    <xf numFmtId="0" fontId="3" fillId="5" borderId="13" xfId="1" applyFill="1" applyBorder="1"/>
    <xf numFmtId="0" fontId="3" fillId="5" borderId="0" xfId="1" applyFill="1"/>
    <xf numFmtId="0" fontId="3" fillId="5" borderId="14" xfId="1" applyFill="1" applyBorder="1"/>
    <xf numFmtId="0" fontId="12" fillId="5" borderId="0" xfId="1" applyFont="1" applyFill="1"/>
    <xf numFmtId="0" fontId="8" fillId="5" borderId="13" xfId="1" applyFont="1" applyFill="1" applyBorder="1" applyAlignment="1">
      <alignment vertical="center"/>
    </xf>
    <xf numFmtId="0" fontId="8" fillId="5" borderId="0" xfId="1" applyFont="1" applyFill="1" applyAlignment="1">
      <alignment vertical="center"/>
    </xf>
    <xf numFmtId="0" fontId="8" fillId="5" borderId="14" xfId="1" applyFont="1" applyFill="1" applyBorder="1" applyAlignment="1">
      <alignment vertical="center"/>
    </xf>
    <xf numFmtId="0" fontId="8" fillId="5" borderId="15" xfId="1" applyFont="1" applyFill="1" applyBorder="1" applyAlignment="1">
      <alignment vertical="center"/>
    </xf>
    <xf numFmtId="0" fontId="8" fillId="5" borderId="16" xfId="1" applyFont="1" applyFill="1" applyBorder="1" applyAlignment="1">
      <alignment vertical="center"/>
    </xf>
    <xf numFmtId="0" fontId="8" fillId="5" borderId="2" xfId="1" applyFont="1" applyFill="1" applyBorder="1" applyAlignment="1">
      <alignment vertical="center"/>
    </xf>
    <xf numFmtId="0" fontId="3" fillId="0" borderId="0" xfId="1" applyAlignment="1">
      <alignment horizontal="center"/>
    </xf>
    <xf numFmtId="0" fontId="3" fillId="2" borderId="5" xfId="1" applyFill="1" applyBorder="1"/>
    <xf numFmtId="0" fontId="3" fillId="2" borderId="6" xfId="1" applyFill="1" applyBorder="1"/>
    <xf numFmtId="0" fontId="3" fillId="0" borderId="0" xfId="0" applyFont="1"/>
    <xf numFmtId="0" fontId="6" fillId="5" borderId="11" xfId="1" applyFont="1" applyFill="1" applyBorder="1"/>
    <xf numFmtId="0" fontId="6" fillId="5" borderId="12" xfId="1" applyFont="1" applyFill="1" applyBorder="1"/>
    <xf numFmtId="0" fontId="6" fillId="5" borderId="17" xfId="1" applyFont="1" applyFill="1" applyBorder="1"/>
    <xf numFmtId="0" fontId="16" fillId="5" borderId="12" xfId="1" applyFont="1" applyFill="1" applyBorder="1"/>
    <xf numFmtId="0" fontId="3" fillId="5" borderId="15" xfId="1" applyFill="1" applyBorder="1"/>
    <xf numFmtId="0" fontId="3" fillId="5" borderId="16" xfId="1" applyFill="1" applyBorder="1"/>
    <xf numFmtId="0" fontId="1" fillId="5" borderId="11" xfId="1" applyFont="1" applyFill="1" applyBorder="1"/>
    <xf numFmtId="0" fontId="3" fillId="5" borderId="12" xfId="1" applyFill="1" applyBorder="1"/>
    <xf numFmtId="0" fontId="3" fillId="5" borderId="17" xfId="1" applyFill="1" applyBorder="1"/>
    <xf numFmtId="0" fontId="9" fillId="5" borderId="13" xfId="1" applyFont="1" applyFill="1" applyBorder="1"/>
    <xf numFmtId="0" fontId="9" fillId="5" borderId="0" xfId="1" applyFont="1" applyFill="1"/>
    <xf numFmtId="0" fontId="9" fillId="5" borderId="14" xfId="1" applyFont="1" applyFill="1" applyBorder="1"/>
    <xf numFmtId="0" fontId="3" fillId="5" borderId="30" xfId="1" applyFill="1" applyBorder="1" applyAlignment="1">
      <alignment vertical="center"/>
    </xf>
    <xf numFmtId="0" fontId="3" fillId="5" borderId="25" xfId="1" applyFill="1" applyBorder="1" applyAlignment="1">
      <alignment vertical="center"/>
    </xf>
    <xf numFmtId="0" fontId="3" fillId="5" borderId="13" xfId="1" applyFill="1" applyBorder="1" applyAlignment="1">
      <alignment vertical="center"/>
    </xf>
    <xf numFmtId="0" fontId="3" fillId="5" borderId="0" xfId="1" applyFill="1" applyAlignment="1">
      <alignment vertical="center"/>
    </xf>
    <xf numFmtId="0" fontId="3" fillId="5" borderId="14" xfId="1" applyFill="1" applyBorder="1" applyAlignment="1">
      <alignment vertical="center"/>
    </xf>
    <xf numFmtId="0" fontId="0" fillId="0" borderId="25" xfId="0" applyBorder="1"/>
    <xf numFmtId="0" fontId="0" fillId="0" borderId="25" xfId="0" applyBorder="1" applyAlignment="1">
      <alignment vertical="center"/>
    </xf>
    <xf numFmtId="0" fontId="0" fillId="0" borderId="26" xfId="0" applyBorder="1" applyAlignment="1">
      <alignment vertical="center"/>
    </xf>
    <xf numFmtId="0" fontId="3" fillId="0" borderId="13" xfId="0" applyFont="1" applyBorder="1" applyAlignment="1">
      <alignment vertical="center"/>
    </xf>
    <xf numFmtId="0" fontId="0" fillId="0" borderId="0" xfId="0"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3" fillId="0" borderId="11" xfId="0" applyFont="1" applyBorder="1"/>
    <xf numFmtId="0" fontId="2" fillId="0" borderId="25" xfId="0" applyFont="1" applyBorder="1"/>
    <xf numFmtId="0" fontId="2" fillId="0" borderId="20" xfId="0" applyFont="1" applyBorder="1"/>
    <xf numFmtId="0" fontId="1" fillId="0" borderId="12" xfId="0" applyFont="1" applyBorder="1"/>
    <xf numFmtId="0" fontId="1" fillId="0" borderId="0" xfId="0" applyFont="1"/>
    <xf numFmtId="0" fontId="1" fillId="0" borderId="17" xfId="0" applyFont="1" applyBorder="1"/>
    <xf numFmtId="0" fontId="1" fillId="0" borderId="13" xfId="0" applyFont="1" applyBorder="1"/>
    <xf numFmtId="0" fontId="1" fillId="0" borderId="0" xfId="0" applyFont="1" applyAlignment="1">
      <alignment horizontal="right"/>
    </xf>
    <xf numFmtId="0" fontId="1" fillId="0" borderId="14" xfId="0" applyFont="1" applyBorder="1"/>
    <xf numFmtId="0" fontId="0" fillId="0" borderId="2" xfId="0" applyBorder="1"/>
    <xf numFmtId="0" fontId="6" fillId="0" borderId="11" xfId="0" applyFont="1" applyBorder="1"/>
    <xf numFmtId="0" fontId="6" fillId="0" borderId="12" xfId="0" applyFont="1" applyBorder="1"/>
    <xf numFmtId="0" fontId="16" fillId="0" borderId="12" xfId="0" applyFont="1" applyBorder="1"/>
    <xf numFmtId="0" fontId="6" fillId="0" borderId="17" xfId="0" applyFont="1"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3" fillId="0" borderId="15" xfId="0" applyFont="1" applyBorder="1"/>
    <xf numFmtId="0" fontId="0" fillId="0" borderId="16" xfId="0" applyBorder="1"/>
    <xf numFmtId="0" fontId="0" fillId="0" borderId="13" xfId="0" applyBorder="1"/>
    <xf numFmtId="0" fontId="1" fillId="0" borderId="11" xfId="0" applyFont="1" applyBorder="1"/>
    <xf numFmtId="0" fontId="0" fillId="0" borderId="12" xfId="0" applyBorder="1"/>
    <xf numFmtId="0" fontId="0" fillId="0" borderId="17" xfId="0" applyBorder="1"/>
    <xf numFmtId="0" fontId="9" fillId="0" borderId="0" xfId="0" applyFont="1"/>
    <xf numFmtId="0" fontId="9" fillId="0" borderId="14" xfId="0" applyFont="1"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4" xfId="0" applyBorder="1"/>
    <xf numFmtId="0" fontId="0" fillId="0" borderId="3" xfId="0" applyBorder="1" applyAlignment="1">
      <alignment horizontal="center"/>
    </xf>
    <xf numFmtId="0" fontId="0" fillId="0" borderId="7" xfId="0" applyBorder="1"/>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0" fillId="0" borderId="9" xfId="0" applyBorder="1"/>
    <xf numFmtId="0" fontId="15" fillId="0" borderId="11" xfId="0" applyFont="1" applyBorder="1"/>
    <xf numFmtId="0" fontId="15" fillId="0" borderId="12" xfId="0" applyFont="1" applyBorder="1"/>
    <xf numFmtId="0" fontId="8" fillId="0" borderId="13" xfId="0" applyFont="1" applyBorder="1" applyAlignment="1">
      <alignment vertical="center"/>
    </xf>
    <xf numFmtId="0" fontId="8" fillId="0" borderId="0" xfId="0" applyFont="1" applyAlignment="1">
      <alignment vertical="center"/>
    </xf>
    <xf numFmtId="0" fontId="8" fillId="0" borderId="14"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8" fillId="0" borderId="2" xfId="0" applyFont="1" applyBorder="1" applyAlignment="1">
      <alignment vertical="center"/>
    </xf>
    <xf numFmtId="0" fontId="3" fillId="5" borderId="25" xfId="0" applyFont="1" applyFill="1" applyBorder="1"/>
    <xf numFmtId="0" fontId="3" fillId="5" borderId="1" xfId="0" applyFont="1" applyFill="1" applyBorder="1" applyAlignment="1">
      <alignment horizontal="left"/>
    </xf>
    <xf numFmtId="0" fontId="19" fillId="5" borderId="1" xfId="0" applyFont="1" applyFill="1" applyBorder="1" applyAlignment="1">
      <alignment horizontal="left"/>
    </xf>
    <xf numFmtId="0" fontId="19" fillId="0" borderId="1" xfId="0" applyFont="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5" borderId="34" xfId="1" applyFill="1" applyBorder="1" applyAlignment="1">
      <alignment horizontal="left"/>
    </xf>
    <xf numFmtId="0" fontId="3" fillId="5" borderId="32" xfId="1" applyFill="1" applyBorder="1" applyAlignment="1">
      <alignment horizontal="left"/>
    </xf>
    <xf numFmtId="0" fontId="2" fillId="0" borderId="32" xfId="1" applyFont="1" applyBorder="1" applyAlignment="1">
      <alignment horizontal="center"/>
    </xf>
    <xf numFmtId="0" fontId="3" fillId="0" borderId="32" xfId="1" applyBorder="1" applyAlignment="1">
      <alignment horizontal="center"/>
    </xf>
    <xf numFmtId="0" fontId="3" fillId="0" borderId="33" xfId="1" applyBorder="1" applyAlignment="1">
      <alignment horizontal="center"/>
    </xf>
    <xf numFmtId="0" fontId="1" fillId="5" borderId="11" xfId="1" applyFont="1" applyFill="1" applyBorder="1" applyAlignment="1">
      <alignment horizontal="left"/>
    </xf>
    <xf numFmtId="0" fontId="1" fillId="5" borderId="12" xfId="1" applyFont="1" applyFill="1" applyBorder="1" applyAlignment="1">
      <alignment horizontal="left"/>
    </xf>
    <xf numFmtId="0" fontId="1" fillId="5" borderId="17" xfId="1" applyFont="1" applyFill="1" applyBorder="1" applyAlignment="1">
      <alignment horizontal="left"/>
    </xf>
    <xf numFmtId="0" fontId="1" fillId="5" borderId="13" xfId="1" applyFont="1" applyFill="1" applyBorder="1" applyAlignment="1">
      <alignment horizontal="left"/>
    </xf>
    <xf numFmtId="0" fontId="1" fillId="5" borderId="0" xfId="1" applyFont="1" applyFill="1" applyAlignment="1">
      <alignment horizontal="left"/>
    </xf>
    <xf numFmtId="0" fontId="1" fillId="5" borderId="14" xfId="1" applyFont="1" applyFill="1" applyBorder="1" applyAlignment="1">
      <alignment horizontal="left"/>
    </xf>
    <xf numFmtId="0" fontId="3" fillId="5" borderId="15" xfId="1" applyFill="1" applyBorder="1" applyAlignment="1">
      <alignment horizontal="left"/>
    </xf>
    <xf numFmtId="0" fontId="3" fillId="5" borderId="16" xfId="1" applyFill="1" applyBorder="1" applyAlignment="1">
      <alignment horizontal="left"/>
    </xf>
    <xf numFmtId="0" fontId="3" fillId="5" borderId="16" xfId="1" applyFill="1" applyBorder="1" applyAlignment="1">
      <alignment horizontal="right"/>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5" borderId="13" xfId="1" applyFill="1" applyBorder="1" applyAlignment="1">
      <alignment horizontal="left"/>
    </xf>
    <xf numFmtId="0" fontId="3" fillId="5" borderId="0" xfId="1" applyFill="1" applyAlignment="1">
      <alignment horizontal="left"/>
    </xf>
    <xf numFmtId="0" fontId="3" fillId="5" borderId="0" xfId="1" applyFill="1" applyAlignment="1">
      <alignment horizontal="center"/>
    </xf>
    <xf numFmtId="0" fontId="3" fillId="5" borderId="14" xfId="1" applyFill="1" applyBorder="1" applyAlignment="1">
      <alignment horizontal="center"/>
    </xf>
    <xf numFmtId="0" fontId="3" fillId="5" borderId="14" xfId="1" applyFill="1" applyBorder="1" applyAlignment="1">
      <alignment horizontal="left"/>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0" borderId="11" xfId="1" applyFont="1" applyBorder="1" applyAlignment="1">
      <alignment horizontal="left" wrapText="1"/>
    </xf>
    <xf numFmtId="0" fontId="1" fillId="0" borderId="12" xfId="1" applyFont="1" applyBorder="1" applyAlignment="1">
      <alignment horizontal="left" wrapText="1"/>
    </xf>
    <xf numFmtId="0" fontId="1" fillId="0" borderId="17" xfId="1" applyFont="1" applyBorder="1" applyAlignment="1">
      <alignment horizontal="left" wrapText="1"/>
    </xf>
    <xf numFmtId="0" fontId="9" fillId="5" borderId="22" xfId="1" applyFont="1" applyFill="1" applyBorder="1" applyAlignment="1">
      <alignment horizontal="center"/>
    </xf>
    <xf numFmtId="0" fontId="9" fillId="5" borderId="23" xfId="1" applyFont="1" applyFill="1" applyBorder="1" applyAlignment="1">
      <alignment horizontal="center"/>
    </xf>
    <xf numFmtId="0" fontId="9" fillId="5" borderId="28" xfId="1" applyFont="1" applyFill="1" applyBorder="1" applyAlignment="1">
      <alignment horizontal="center"/>
    </xf>
    <xf numFmtId="0" fontId="3" fillId="4" borderId="13" xfId="1" applyFill="1" applyBorder="1" applyAlignment="1">
      <alignment horizontal="center"/>
    </xf>
    <xf numFmtId="0" fontId="3" fillId="4" borderId="0" xfId="1" applyFill="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5" fillId="4" borderId="15" xfId="1" applyFont="1" applyFill="1" applyBorder="1" applyAlignment="1">
      <alignment horizontal="center"/>
    </xf>
    <xf numFmtId="0" fontId="5" fillId="4" borderId="16" xfId="1" applyFont="1" applyFill="1" applyBorder="1" applyAlignment="1">
      <alignment horizontal="center"/>
    </xf>
    <xf numFmtId="49" fontId="3" fillId="5" borderId="1" xfId="1" applyNumberFormat="1" applyFill="1" applyBorder="1" applyAlignment="1">
      <alignment horizontal="center"/>
    </xf>
    <xf numFmtId="49" fontId="3" fillId="5" borderId="5" xfId="1" applyNumberFormat="1" applyFill="1" applyBorder="1" applyAlignment="1">
      <alignment horizontal="center"/>
    </xf>
    <xf numFmtId="0" fontId="0" fillId="0" borderId="1" xfId="0" applyBorder="1" applyAlignment="1">
      <alignment horizontal="center"/>
    </xf>
    <xf numFmtId="0" fontId="3" fillId="0" borderId="1" xfId="1" applyBorder="1" applyAlignment="1">
      <alignment horizontal="center"/>
    </xf>
    <xf numFmtId="0" fontId="3" fillId="0" borderId="4" xfId="1" applyBorder="1" applyAlignment="1">
      <alignment horizontal="center"/>
    </xf>
    <xf numFmtId="0" fontId="7" fillId="0" borderId="1" xfId="1" applyFont="1" applyBorder="1" applyAlignment="1">
      <alignment horizontal="center" wrapText="1" shrinkToFit="1"/>
    </xf>
    <xf numFmtId="0" fontId="3" fillId="5" borderId="5" xfId="1" applyFill="1" applyBorder="1" applyAlignment="1">
      <alignment horizontal="center"/>
    </xf>
    <xf numFmtId="0" fontId="3" fillId="5" borderId="6" xfId="1" applyFill="1" applyBorder="1" applyAlignment="1">
      <alignment horizontal="center"/>
    </xf>
    <xf numFmtId="0" fontId="3" fillId="5" borderId="18" xfId="1" applyFill="1" applyBorder="1" applyAlignment="1">
      <alignment horizontal="center"/>
    </xf>
    <xf numFmtId="0" fontId="12" fillId="0" borderId="0" xfId="1" applyFont="1" applyAlignment="1">
      <alignment horizontal="center"/>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0" fontId="11" fillId="4" borderId="13" xfId="1" applyFont="1" applyFill="1" applyBorder="1" applyAlignment="1">
      <alignment horizontal="left"/>
    </xf>
    <xf numFmtId="0" fontId="11" fillId="4" borderId="0" xfId="1" applyFont="1" applyFill="1" applyAlignment="1">
      <alignment horizontal="left"/>
    </xf>
    <xf numFmtId="0" fontId="11" fillId="4" borderId="14" xfId="1" applyFont="1" applyFill="1" applyBorder="1" applyAlignment="1">
      <alignment horizontal="left"/>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11" fillId="4" borderId="15" xfId="1" applyFont="1" applyFill="1" applyBorder="1" applyAlignment="1">
      <alignment horizontal="left"/>
    </xf>
    <xf numFmtId="0" fontId="11" fillId="4" borderId="16" xfId="1" applyFont="1" applyFill="1" applyBorder="1" applyAlignment="1">
      <alignment horizontal="left"/>
    </xf>
    <xf numFmtId="0" fontId="11" fillId="4" borderId="2" xfId="1" applyFont="1" applyFill="1" applyBorder="1" applyAlignment="1">
      <alignment horizontal="left"/>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5" fillId="0" borderId="0" xfId="1" applyFont="1" applyAlignment="1">
      <alignment horizontal="center"/>
    </xf>
    <xf numFmtId="0" fontId="12" fillId="5" borderId="0" xfId="1" applyFont="1" applyFill="1" applyAlignment="1">
      <alignment horizontal="left"/>
    </xf>
    <xf numFmtId="0" fontId="12" fillId="5" borderId="14" xfId="1" applyFont="1" applyFill="1" applyBorder="1" applyAlignment="1">
      <alignment horizontal="left"/>
    </xf>
    <xf numFmtId="0" fontId="5" fillId="5" borderId="15" xfId="1" applyFont="1" applyFill="1" applyBorder="1" applyAlignment="1">
      <alignment horizontal="center"/>
    </xf>
    <xf numFmtId="0" fontId="5" fillId="5" borderId="16" xfId="1" applyFont="1" applyFill="1" applyBorder="1" applyAlignment="1">
      <alignment horizontal="center"/>
    </xf>
    <xf numFmtId="0" fontId="5" fillId="5" borderId="2" xfId="1" applyFont="1" applyFill="1" applyBorder="1" applyAlignment="1">
      <alignment horizontal="center"/>
    </xf>
    <xf numFmtId="0" fontId="3" fillId="5" borderId="25" xfId="1" applyFill="1" applyBorder="1" applyAlignment="1">
      <alignment horizontal="center" vertical="center"/>
    </xf>
    <xf numFmtId="0" fontId="3" fillId="5" borderId="26" xfId="1" applyFill="1" applyBorder="1" applyAlignment="1">
      <alignment horizontal="center" vertical="center"/>
    </xf>
    <xf numFmtId="0" fontId="7" fillId="5" borderId="13" xfId="1" applyFont="1" applyFill="1" applyBorder="1" applyAlignment="1">
      <alignment horizontal="left" wrapText="1"/>
    </xf>
    <xf numFmtId="0" fontId="7" fillId="5" borderId="0" xfId="1" applyFont="1" applyFill="1" applyAlignment="1">
      <alignment horizontal="left" wrapText="1"/>
    </xf>
    <xf numFmtId="0" fontId="7" fillId="5" borderId="14" xfId="1" applyFont="1" applyFill="1" applyBorder="1" applyAlignment="1">
      <alignment horizontal="left" wrapText="1"/>
    </xf>
    <xf numFmtId="0" fontId="12" fillId="5" borderId="13" xfId="1" applyFont="1" applyFill="1" applyBorder="1" applyAlignment="1">
      <alignment horizontal="center"/>
    </xf>
    <xf numFmtId="0" fontId="12" fillId="5" borderId="0" xfId="1" applyFont="1" applyFill="1" applyAlignment="1">
      <alignment horizontal="center"/>
    </xf>
    <xf numFmtId="0" fontId="3" fillId="5" borderId="13" xfId="1" applyFill="1" applyBorder="1" applyAlignment="1">
      <alignment horizontal="center"/>
    </xf>
    <xf numFmtId="0" fontId="3" fillId="5" borderId="15" xfId="1" applyFill="1" applyBorder="1" applyAlignment="1">
      <alignment horizontal="center"/>
    </xf>
    <xf numFmtId="0" fontId="3" fillId="5" borderId="16" xfId="1" applyFill="1" applyBorder="1" applyAlignment="1">
      <alignment horizontal="center"/>
    </xf>
    <xf numFmtId="0" fontId="3" fillId="5" borderId="2" xfId="1" applyFill="1" applyBorder="1" applyAlignment="1">
      <alignment horizontal="center"/>
    </xf>
    <xf numFmtId="0" fontId="8" fillId="5" borderId="0" xfId="1" applyFont="1" applyFill="1" applyAlignment="1">
      <alignment horizontal="center" vertical="center"/>
    </xf>
    <xf numFmtId="0" fontId="8" fillId="5"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9" fillId="5" borderId="11" xfId="1" applyFont="1" applyFill="1" applyBorder="1" applyAlignment="1">
      <alignment horizontal="center"/>
    </xf>
    <xf numFmtId="0" fontId="9" fillId="5" borderId="12" xfId="1" applyFont="1" applyFill="1" applyBorder="1" applyAlignment="1">
      <alignment horizontal="center"/>
    </xf>
    <xf numFmtId="0" fontId="15" fillId="5" borderId="12" xfId="1" applyFont="1" applyFill="1" applyBorder="1" applyAlignment="1">
      <alignment horizontal="left"/>
    </xf>
    <xf numFmtId="0" fontId="15" fillId="5" borderId="17" xfId="1" applyFont="1" applyFill="1" applyBorder="1" applyAlignment="1">
      <alignment horizontal="left"/>
    </xf>
    <xf numFmtId="0" fontId="9" fillId="5" borderId="17" xfId="1" applyFont="1" applyFill="1" applyBorder="1" applyAlignment="1">
      <alignment horizontal="center"/>
    </xf>
    <xf numFmtId="0" fontId="1" fillId="5" borderId="19" xfId="1" applyFont="1" applyFill="1" applyBorder="1" applyAlignment="1">
      <alignment horizontal="center"/>
    </xf>
    <xf numFmtId="0" fontId="1" fillId="5" borderId="20" xfId="1" applyFont="1" applyFill="1" applyBorder="1" applyAlignment="1">
      <alignment horizontal="center"/>
    </xf>
    <xf numFmtId="0" fontId="1" fillId="5" borderId="21"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49" fontId="3" fillId="5" borderId="3" xfId="1" applyNumberFormat="1" applyFill="1" applyBorder="1" applyAlignment="1">
      <alignment horizontal="center"/>
    </xf>
    <xf numFmtId="0" fontId="0" fillId="0" borderId="5" xfId="0" applyBorder="1" applyAlignment="1">
      <alignment horizontal="center"/>
    </xf>
    <xf numFmtId="0" fontId="0" fillId="0" borderId="18" xfId="0"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5" xfId="1" applyBorder="1" applyAlignment="1">
      <alignment horizontal="center"/>
    </xf>
    <xf numFmtId="0" fontId="3" fillId="0" borderId="0" xfId="1" applyAlignment="1">
      <alignment horizontal="center"/>
    </xf>
    <xf numFmtId="0" fontId="3" fillId="0" borderId="36"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3" fontId="3" fillId="5" borderId="1" xfId="1" applyNumberFormat="1" applyFill="1" applyBorder="1" applyAlignment="1">
      <alignment horizontal="center"/>
    </xf>
    <xf numFmtId="0" fontId="3" fillId="5"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0" fontId="5" fillId="0" borderId="15" xfId="0" applyFont="1" applyBorder="1" applyAlignment="1">
      <alignment horizontal="center"/>
    </xf>
    <xf numFmtId="0" fontId="5" fillId="0" borderId="16" xfId="0" applyFont="1" applyBorder="1" applyAlignment="1">
      <alignment horizontal="center"/>
    </xf>
    <xf numFmtId="0" fontId="5" fillId="0" borderId="2" xfId="0" applyFont="1" applyBorder="1" applyAlignment="1">
      <alignment horizontal="center"/>
    </xf>
    <xf numFmtId="0" fontId="9" fillId="0" borderId="15" xfId="0" applyFont="1" applyBorder="1" applyAlignment="1">
      <alignment horizontal="center"/>
    </xf>
    <xf numFmtId="0" fontId="9" fillId="0" borderId="16" xfId="0" applyFont="1" applyBorder="1" applyAlignment="1">
      <alignment horizontal="center"/>
    </xf>
    <xf numFmtId="0" fontId="9" fillId="0" borderId="2" xfId="0" applyFont="1" applyBorder="1" applyAlignment="1">
      <alignment horizontal="center"/>
    </xf>
    <xf numFmtId="0" fontId="12" fillId="0" borderId="0" xfId="0" applyFont="1" applyAlignment="1">
      <alignment horizontal="left"/>
    </xf>
    <xf numFmtId="0" fontId="12" fillId="0" borderId="14" xfId="0" applyFont="1" applyBorder="1" applyAlignment="1">
      <alignment horizontal="left"/>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3" xfId="0" applyFont="1" applyBorder="1" applyAlignment="1">
      <alignment horizontal="left"/>
    </xf>
    <xf numFmtId="0" fontId="11" fillId="0" borderId="0" xfId="0" applyFont="1" applyAlignment="1">
      <alignment horizontal="left"/>
    </xf>
    <xf numFmtId="0" fontId="11" fillId="0" borderId="14" xfId="0" applyFont="1" applyBorder="1" applyAlignment="1">
      <alignment horizontal="left"/>
    </xf>
    <xf numFmtId="0" fontId="11" fillId="0" borderId="15" xfId="0" applyFont="1" applyBorder="1" applyAlignment="1">
      <alignment horizontal="left"/>
    </xf>
    <xf numFmtId="0" fontId="11" fillId="0" borderId="16" xfId="0" applyFont="1" applyBorder="1" applyAlignment="1">
      <alignment horizontal="left"/>
    </xf>
    <xf numFmtId="0" fontId="11" fillId="0" borderId="2" xfId="0" applyFont="1" applyBorder="1" applyAlignment="1">
      <alignment horizontal="left"/>
    </xf>
    <xf numFmtId="0" fontId="13" fillId="0" borderId="13" xfId="0" applyFont="1" applyBorder="1" applyAlignment="1">
      <alignment horizontal="center"/>
    </xf>
    <xf numFmtId="0" fontId="13" fillId="0" borderId="0" xfId="0" applyFont="1" applyAlignment="1">
      <alignment horizontal="center"/>
    </xf>
    <xf numFmtId="0" fontId="13" fillId="0" borderId="16" xfId="0" applyFont="1" applyBorder="1" applyAlignment="1">
      <alignment horizontal="center"/>
    </xf>
    <xf numFmtId="0" fontId="13" fillId="0" borderId="2" xfId="0" applyFont="1" applyBorder="1" applyAlignment="1">
      <alignment horizontal="center"/>
    </xf>
    <xf numFmtId="0" fontId="9" fillId="0" borderId="11" xfId="0" applyFont="1" applyBorder="1" applyAlignment="1">
      <alignment horizontal="center"/>
    </xf>
    <xf numFmtId="0" fontId="9" fillId="0" borderId="12"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0" borderId="13" xfId="0" applyFont="1" applyBorder="1" applyAlignment="1">
      <alignment horizontal="center"/>
    </xf>
    <xf numFmtId="0" fontId="12" fillId="0" borderId="0" xfId="0" applyFont="1" applyAlignment="1">
      <alignment horizontal="center"/>
    </xf>
    <xf numFmtId="0" fontId="15" fillId="0" borderId="12" xfId="0" applyFont="1" applyBorder="1" applyAlignment="1">
      <alignment horizontal="left"/>
    </xf>
    <xf numFmtId="0" fontId="15" fillId="0" borderId="17" xfId="0" applyFont="1" applyBorder="1" applyAlignment="1">
      <alignment horizontal="left"/>
    </xf>
    <xf numFmtId="0" fontId="5" fillId="0" borderId="0" xfId="0" applyFont="1" applyAlignment="1">
      <alignment horizontal="center"/>
    </xf>
    <xf numFmtId="0" fontId="9" fillId="0" borderId="17" xfId="0" applyFont="1" applyBorder="1" applyAlignment="1">
      <alignment horizontal="center"/>
    </xf>
    <xf numFmtId="0" fontId="7" fillId="0" borderId="0" xfId="0" applyFont="1" applyAlignment="1">
      <alignment horizontal="left" wrapText="1"/>
    </xf>
    <xf numFmtId="0" fontId="7" fillId="0" borderId="14" xfId="0" applyFont="1" applyBorder="1" applyAlignment="1">
      <alignment horizontal="left" wrapText="1"/>
    </xf>
    <xf numFmtId="0" fontId="8" fillId="0" borderId="0" xfId="0" applyFont="1" applyAlignment="1">
      <alignment horizontal="center" vertical="center"/>
    </xf>
    <xf numFmtId="0" fontId="8" fillId="0" borderId="14" xfId="0" applyFont="1" applyBorder="1" applyAlignment="1">
      <alignment horizontal="center" vertical="center"/>
    </xf>
    <xf numFmtId="0" fontId="0" fillId="0" borderId="6" xfId="0"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7"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2" fillId="0" borderId="14" xfId="0" applyFont="1" applyBorder="1" applyAlignment="1">
      <alignment horizontal="left" vertical="top"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7" xfId="0" applyFont="1" applyBorder="1" applyAlignment="1">
      <alignment horizontal="center"/>
    </xf>
    <xf numFmtId="0" fontId="1" fillId="0" borderId="13" xfId="0" applyFont="1" applyBorder="1" applyAlignment="1">
      <alignment horizontal="center"/>
    </xf>
    <xf numFmtId="0" fontId="1" fillId="0" borderId="0" xfId="0" applyFont="1" applyAlignment="1">
      <alignment horizontal="center"/>
    </xf>
    <xf numFmtId="0" fontId="1" fillId="0" borderId="14" xfId="0" applyFont="1" applyBorder="1" applyAlignment="1">
      <alignment horizontal="center"/>
    </xf>
    <xf numFmtId="0" fontId="9" fillId="0" borderId="13" xfId="0" applyFont="1" applyBorder="1" applyAlignment="1">
      <alignment horizontal="center"/>
    </xf>
    <xf numFmtId="0" fontId="9" fillId="0" borderId="0" xfId="0" applyFont="1" applyAlignment="1">
      <alignment horizontal="center"/>
    </xf>
    <xf numFmtId="0" fontId="9" fillId="0" borderId="14" xfId="0" applyFont="1"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4" borderId="14" xfId="0" applyFont="1"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4"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0" fillId="0" borderId="4" xfId="0" applyBorder="1" applyAlignment="1">
      <alignment horizontal="center"/>
    </xf>
    <xf numFmtId="0" fontId="1" fillId="0" borderId="3" xfId="0" applyFont="1" applyBorder="1" applyAlignment="1">
      <alignment horizontal="left"/>
    </xf>
    <xf numFmtId="0" fontId="1" fillId="0" borderId="1" xfId="0" applyFont="1" applyBorder="1" applyAlignment="1">
      <alignment horizontal="left"/>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2" borderId="5" xfId="0" applyFill="1" applyBorder="1" applyAlignment="1">
      <alignment horizontal="center"/>
    </xf>
    <xf numFmtId="0" fontId="0" fillId="2" borderId="6" xfId="0" applyFill="1" applyBorder="1" applyAlignment="1">
      <alignment horizontal="center"/>
    </xf>
    <xf numFmtId="0" fontId="0" fillId="2" borderId="18" xfId="0" applyFill="1" applyBorder="1" applyAlignment="1">
      <alignment horizontal="center"/>
    </xf>
    <xf numFmtId="0" fontId="0" fillId="0" borderId="0" xfId="0" applyAlignment="1">
      <alignment horizontal="center"/>
    </xf>
    <xf numFmtId="0" fontId="0" fillId="0" borderId="14" xfId="0" applyBorder="1" applyAlignment="1">
      <alignment horizontal="center"/>
    </xf>
    <xf numFmtId="0" fontId="3" fillId="0" borderId="15" xfId="0" applyFont="1"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0" fillId="0" borderId="14" xfId="0" applyBorder="1" applyAlignment="1">
      <alignment horizontal="left"/>
    </xf>
    <xf numFmtId="0" fontId="5" fillId="0" borderId="0" xfId="0" applyFont="1" applyAlignment="1">
      <alignment horizontal="left" wrapText="1"/>
    </xf>
    <xf numFmtId="0" fontId="5" fillId="0" borderId="14" xfId="0" applyFont="1" applyBorder="1" applyAlignment="1">
      <alignment horizontal="left" wrapText="1"/>
    </xf>
    <xf numFmtId="0" fontId="5" fillId="0" borderId="16" xfId="0" applyFont="1" applyBorder="1" applyAlignment="1">
      <alignment horizontal="left" wrapText="1"/>
    </xf>
    <xf numFmtId="0" fontId="5" fillId="0" borderId="2" xfId="0" applyFont="1" applyBorder="1" applyAlignment="1">
      <alignment horizontal="left" wrapText="1"/>
    </xf>
    <xf numFmtId="0" fontId="1" fillId="0" borderId="11" xfId="0" applyFont="1" applyBorder="1" applyAlignment="1">
      <alignment horizontal="left" wrapText="1"/>
    </xf>
    <xf numFmtId="0" fontId="1" fillId="0" borderId="12" xfId="0" applyFont="1" applyBorder="1" applyAlignment="1">
      <alignment horizontal="left" wrapText="1"/>
    </xf>
    <xf numFmtId="0" fontId="1" fillId="0" borderId="17" xfId="0" applyFont="1" applyBorder="1" applyAlignment="1">
      <alignment horizontal="left" wrapText="1"/>
    </xf>
    <xf numFmtId="0" fontId="0" fillId="0" borderId="13" xfId="0" applyBorder="1" applyAlignment="1">
      <alignment horizontal="left" vertical="top"/>
    </xf>
    <xf numFmtId="0" fontId="0" fillId="0" borderId="0" xfId="0" applyAlignment="1">
      <alignment horizontal="left" vertical="top"/>
    </xf>
    <xf numFmtId="0" fontId="0" fillId="0" borderId="23"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6"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1" fillId="0" borderId="28"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0" fillId="0" borderId="13" xfId="0" applyBorder="1" applyAlignment="1">
      <alignment horizontal="center"/>
    </xf>
    <xf numFmtId="0" fontId="9" fillId="0" borderId="22" xfId="0" applyFont="1" applyBorder="1" applyAlignment="1">
      <alignment horizontal="center"/>
    </xf>
    <xf numFmtId="0" fontId="9" fillId="0" borderId="23" xfId="0" applyFont="1" applyBorder="1" applyAlignment="1">
      <alignment horizontal="center"/>
    </xf>
    <xf numFmtId="0" fontId="9" fillId="0" borderId="28"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3" fillId="0" borderId="0" xfId="0" applyFont="1" applyAlignment="1">
      <alignment horizontal="left"/>
    </xf>
    <xf numFmtId="0" fontId="0" fillId="0" borderId="0" xfId="0" applyAlignment="1">
      <alignment horizontal="center" vertical="center"/>
    </xf>
    <xf numFmtId="0" fontId="0" fillId="0" borderId="14" xfId="0" applyBorder="1" applyAlignment="1">
      <alignment horizontal="center" vertical="center"/>
    </xf>
    <xf numFmtId="0" fontId="9" fillId="0" borderId="13" xfId="0" applyFont="1" applyBorder="1" applyAlignment="1">
      <alignment horizontal="left"/>
    </xf>
    <xf numFmtId="0" fontId="9" fillId="0" borderId="0" xfId="0" applyFont="1" applyAlignment="1">
      <alignment horizontal="left"/>
    </xf>
    <xf numFmtId="14" fontId="3" fillId="0" borderId="16" xfId="0" applyNumberFormat="1" applyFont="1" applyBorder="1" applyAlignment="1">
      <alignment horizontal="center"/>
    </xf>
    <xf numFmtId="14" fontId="18" fillId="0" borderId="16" xfId="0" applyNumberFormat="1" applyFont="1" applyBorder="1" applyAlignment="1">
      <alignment horizontal="center"/>
    </xf>
    <xf numFmtId="0" fontId="1" fillId="0" borderId="34" xfId="0" applyFont="1" applyBorder="1" applyAlignment="1">
      <alignment horizontal="center"/>
    </xf>
    <xf numFmtId="0" fontId="1" fillId="0" borderId="32" xfId="0" applyFont="1" applyBorder="1" applyAlignment="1">
      <alignment horizontal="center"/>
    </xf>
    <xf numFmtId="0" fontId="1" fillId="0" borderId="33" xfId="0" applyFont="1" applyBorder="1" applyAlignment="1">
      <alignment horizontal="center"/>
    </xf>
    <xf numFmtId="0" fontId="3" fillId="0" borderId="32" xfId="0" applyFont="1" applyBorder="1" applyAlignment="1">
      <alignment horizontal="center"/>
    </xf>
    <xf numFmtId="0" fontId="3" fillId="0" borderId="33" xfId="0" applyFont="1" applyBorder="1" applyAlignment="1">
      <alignment horizontal="center"/>
    </xf>
    <xf numFmtId="0" fontId="0" fillId="0" borderId="11" xfId="0" applyBorder="1" applyAlignment="1">
      <alignment horizontal="left"/>
    </xf>
    <xf numFmtId="0" fontId="0" fillId="0" borderId="12" xfId="0" applyBorder="1" applyAlignment="1">
      <alignment horizontal="left"/>
    </xf>
    <xf numFmtId="0" fontId="0" fillId="0" borderId="17" xfId="0" applyBorder="1" applyAlignment="1">
      <alignment horizontal="left"/>
    </xf>
    <xf numFmtId="0" fontId="0" fillId="0" borderId="15" xfId="0" applyBorder="1" applyAlignment="1">
      <alignment horizontal="left"/>
    </xf>
    <xf numFmtId="0" fontId="0" fillId="0" borderId="16" xfId="0" applyBorder="1" applyAlignment="1">
      <alignment horizontal="right"/>
    </xf>
    <xf numFmtId="0" fontId="0" fillId="0" borderId="13"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 xfId="0" applyBorder="1" applyAlignment="1">
      <alignment horizontal="center" vertical="center"/>
    </xf>
    <xf numFmtId="0" fontId="3" fillId="0" borderId="13" xfId="0" applyFont="1" applyBorder="1" applyAlignment="1">
      <alignment horizontal="left"/>
    </xf>
    <xf numFmtId="0" fontId="1" fillId="0" borderId="37" xfId="0" applyFont="1" applyBorder="1" applyAlignment="1">
      <alignment horizontal="center"/>
    </xf>
    <xf numFmtId="0" fontId="1" fillId="0" borderId="38" xfId="0" applyFont="1" applyBorder="1" applyAlignment="1">
      <alignment horizontal="center"/>
    </xf>
    <xf numFmtId="0" fontId="1" fillId="0" borderId="39"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2" name="Rectangle 1">
          <a:extLst>
            <a:ext uri="{FF2B5EF4-FFF2-40B4-BE49-F238E27FC236}">
              <a16:creationId xmlns:a16="http://schemas.microsoft.com/office/drawing/2014/main" id="{1A3F8C7F-CF1E-42BE-BE6A-B4E46FB7A741}"/>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 name="Rectangle 2">
          <a:extLst>
            <a:ext uri="{FF2B5EF4-FFF2-40B4-BE49-F238E27FC236}">
              <a16:creationId xmlns:a16="http://schemas.microsoft.com/office/drawing/2014/main" id="{79140DC8-D4AD-45F3-B820-1FD0343DA000}"/>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4" name="Rectangle 3">
          <a:extLst>
            <a:ext uri="{FF2B5EF4-FFF2-40B4-BE49-F238E27FC236}">
              <a16:creationId xmlns:a16="http://schemas.microsoft.com/office/drawing/2014/main" id="{0D5C3F6F-66AC-4D8E-B53C-74C27AFC0D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5" name="Rectangle 4">
          <a:extLst>
            <a:ext uri="{FF2B5EF4-FFF2-40B4-BE49-F238E27FC236}">
              <a16:creationId xmlns:a16="http://schemas.microsoft.com/office/drawing/2014/main" id="{76E342D7-84FA-47D3-8D02-CA5C9F9418AC}"/>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6" name="Rectangle 5">
          <a:extLst>
            <a:ext uri="{FF2B5EF4-FFF2-40B4-BE49-F238E27FC236}">
              <a16:creationId xmlns:a16="http://schemas.microsoft.com/office/drawing/2014/main" id="{F9464980-8CA2-4DDD-B720-9C6B54151AC4}"/>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7" name="Rectangle 6">
          <a:extLst>
            <a:ext uri="{FF2B5EF4-FFF2-40B4-BE49-F238E27FC236}">
              <a16:creationId xmlns:a16="http://schemas.microsoft.com/office/drawing/2014/main" id="{018E3440-F02C-42CD-97B9-116E45704C51}"/>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9" name="Rectangle 9">
          <a:extLst>
            <a:ext uri="{FF2B5EF4-FFF2-40B4-BE49-F238E27FC236}">
              <a16:creationId xmlns:a16="http://schemas.microsoft.com/office/drawing/2014/main" id="{61A2D957-B67A-42CD-AA7C-2935E4E64675}"/>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10" name="Rectangle 11">
          <a:extLst>
            <a:ext uri="{FF2B5EF4-FFF2-40B4-BE49-F238E27FC236}">
              <a16:creationId xmlns:a16="http://schemas.microsoft.com/office/drawing/2014/main" id="{439CF4D5-19EF-4BFD-8436-8C07E3227D59}"/>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11" name="Rectangle 12">
          <a:extLst>
            <a:ext uri="{FF2B5EF4-FFF2-40B4-BE49-F238E27FC236}">
              <a16:creationId xmlns:a16="http://schemas.microsoft.com/office/drawing/2014/main" id="{8E58B423-C666-4D81-B283-1944C3DCFBDE}"/>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12" name="Rectangle 13">
          <a:extLst>
            <a:ext uri="{FF2B5EF4-FFF2-40B4-BE49-F238E27FC236}">
              <a16:creationId xmlns:a16="http://schemas.microsoft.com/office/drawing/2014/main" id="{BD883B4A-D4CC-4156-A3F4-99C07F93A4F8}"/>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13" name="Rectangle 14">
          <a:extLst>
            <a:ext uri="{FF2B5EF4-FFF2-40B4-BE49-F238E27FC236}">
              <a16:creationId xmlns:a16="http://schemas.microsoft.com/office/drawing/2014/main" id="{7F3EC00E-AF47-46E6-89C6-F9549ABB817F}"/>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3338" name="Rectangle 1">
          <a:extLst>
            <a:ext uri="{FF2B5EF4-FFF2-40B4-BE49-F238E27FC236}">
              <a16:creationId xmlns:a16="http://schemas.microsoft.com/office/drawing/2014/main" id="{01FE57C4-34CA-CC45-1E3E-7705FAC0C164}"/>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339" name="Rectangle 2">
          <a:extLst>
            <a:ext uri="{FF2B5EF4-FFF2-40B4-BE49-F238E27FC236}">
              <a16:creationId xmlns:a16="http://schemas.microsoft.com/office/drawing/2014/main" id="{9270680F-767E-D0C1-AC59-B69CCC6A3ABF}"/>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3340" name="Rectangle 3">
          <a:extLst>
            <a:ext uri="{FF2B5EF4-FFF2-40B4-BE49-F238E27FC236}">
              <a16:creationId xmlns:a16="http://schemas.microsoft.com/office/drawing/2014/main" id="{7DC4EB47-F9F0-CF5B-C72F-44639ED008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3341" name="Rectangle 4">
          <a:extLst>
            <a:ext uri="{FF2B5EF4-FFF2-40B4-BE49-F238E27FC236}">
              <a16:creationId xmlns:a16="http://schemas.microsoft.com/office/drawing/2014/main" id="{7DE21EDF-9B37-45B2-875D-35D5843EBEA1}"/>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3342" name="Rectangle 5">
          <a:extLst>
            <a:ext uri="{FF2B5EF4-FFF2-40B4-BE49-F238E27FC236}">
              <a16:creationId xmlns:a16="http://schemas.microsoft.com/office/drawing/2014/main" id="{2B303AF2-7C3D-C3DF-B5A6-C844CFBA2C86}"/>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3343" name="Rectangle 6">
          <a:extLst>
            <a:ext uri="{FF2B5EF4-FFF2-40B4-BE49-F238E27FC236}">
              <a16:creationId xmlns:a16="http://schemas.microsoft.com/office/drawing/2014/main" id="{2AA4C39C-2BB1-E06C-480D-002C3EAA74E8}"/>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3345" name="Rectangle 9">
          <a:extLst>
            <a:ext uri="{FF2B5EF4-FFF2-40B4-BE49-F238E27FC236}">
              <a16:creationId xmlns:a16="http://schemas.microsoft.com/office/drawing/2014/main" id="{1480E184-CF88-EE85-A1CA-309E568EF6C1}"/>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3346" name="Rectangle 11">
          <a:extLst>
            <a:ext uri="{FF2B5EF4-FFF2-40B4-BE49-F238E27FC236}">
              <a16:creationId xmlns:a16="http://schemas.microsoft.com/office/drawing/2014/main" id="{F0F0F7EF-DF5D-26AE-B242-B1D746E21027}"/>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3347" name="Rectangle 12">
          <a:extLst>
            <a:ext uri="{FF2B5EF4-FFF2-40B4-BE49-F238E27FC236}">
              <a16:creationId xmlns:a16="http://schemas.microsoft.com/office/drawing/2014/main" id="{7C5F7788-DD70-8673-473B-BCEB169CE65A}"/>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3348" name="Rectangle 13">
          <a:extLst>
            <a:ext uri="{FF2B5EF4-FFF2-40B4-BE49-F238E27FC236}">
              <a16:creationId xmlns:a16="http://schemas.microsoft.com/office/drawing/2014/main" id="{BC8EC91C-84D7-D524-8938-FE1169E87FBC}"/>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3349" name="Rectangle 14">
          <a:extLst>
            <a:ext uri="{FF2B5EF4-FFF2-40B4-BE49-F238E27FC236}">
              <a16:creationId xmlns:a16="http://schemas.microsoft.com/office/drawing/2014/main" id="{9868FA97-A069-40CD-35B9-6D9B78D67CAC}"/>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tabSelected="1" workbookViewId="0">
      <selection activeCell="S19" sqref="S19"/>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6.1406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143" t="s">
        <v>237</v>
      </c>
      <c r="B1" s="144"/>
      <c r="C1" s="145" t="s">
        <v>56</v>
      </c>
      <c r="D1" s="145"/>
      <c r="E1" s="145"/>
      <c r="F1" s="145"/>
      <c r="G1" s="145"/>
      <c r="H1" s="145"/>
      <c r="I1" s="145"/>
      <c r="J1" s="145"/>
      <c r="K1" s="145"/>
      <c r="L1" s="146" t="s">
        <v>62</v>
      </c>
      <c r="M1" s="147"/>
    </row>
    <row r="2" spans="1:13" x14ac:dyDescent="0.2">
      <c r="A2" s="140" t="s">
        <v>0</v>
      </c>
      <c r="B2" s="141"/>
      <c r="C2" s="141"/>
      <c r="D2" s="141"/>
      <c r="E2" s="141"/>
      <c r="F2" s="141"/>
      <c r="G2" s="141"/>
      <c r="H2" s="142"/>
      <c r="I2" s="148" t="s">
        <v>232</v>
      </c>
      <c r="J2" s="149"/>
      <c r="K2" s="149"/>
      <c r="L2" s="149"/>
      <c r="M2" s="150"/>
    </row>
    <row r="3" spans="1:13" x14ac:dyDescent="0.2">
      <c r="A3" s="128" t="s">
        <v>66</v>
      </c>
      <c r="B3" s="129"/>
      <c r="C3" s="129"/>
      <c r="D3" s="129"/>
      <c r="E3" s="129"/>
      <c r="F3" s="129"/>
      <c r="G3" s="129"/>
      <c r="H3" s="130"/>
      <c r="I3" s="151"/>
      <c r="J3" s="152"/>
      <c r="K3" s="152"/>
      <c r="L3" s="152"/>
      <c r="M3" s="153"/>
    </row>
    <row r="4" spans="1:13" x14ac:dyDescent="0.2">
      <c r="A4" s="128" t="s">
        <v>64</v>
      </c>
      <c r="B4" s="129"/>
      <c r="C4" s="129"/>
      <c r="D4" s="129"/>
      <c r="E4" s="129"/>
      <c r="F4" s="129"/>
      <c r="G4" s="129"/>
      <c r="H4" s="130"/>
      <c r="I4" s="131"/>
      <c r="J4" s="132"/>
      <c r="K4" s="132"/>
      <c r="L4" s="132"/>
      <c r="M4" s="133"/>
    </row>
    <row r="5" spans="1:13" x14ac:dyDescent="0.2">
      <c r="A5" s="128" t="s">
        <v>65</v>
      </c>
      <c r="B5" s="129"/>
      <c r="C5" s="129"/>
      <c r="D5" s="129"/>
      <c r="E5" s="129"/>
      <c r="F5" s="129"/>
      <c r="G5" s="129"/>
      <c r="H5" s="130"/>
      <c r="I5" s="131"/>
      <c r="J5" s="132"/>
      <c r="K5" s="132"/>
      <c r="L5" s="132"/>
      <c r="M5" s="133"/>
    </row>
    <row r="6" spans="1:13" ht="13.5" thickBot="1" x14ac:dyDescent="0.25">
      <c r="A6" s="137" t="s">
        <v>4</v>
      </c>
      <c r="B6" s="138"/>
      <c r="C6" s="138"/>
      <c r="D6" s="138"/>
      <c r="E6" s="138"/>
      <c r="F6" s="139" t="s">
        <v>5</v>
      </c>
      <c r="G6" s="139"/>
      <c r="H6" s="12"/>
      <c r="I6" s="134"/>
      <c r="J6" s="135"/>
      <c r="K6" s="135"/>
      <c r="L6" s="135"/>
      <c r="M6" s="136"/>
    </row>
    <row r="7" spans="1:13" x14ac:dyDescent="0.2">
      <c r="A7" s="140" t="s">
        <v>16</v>
      </c>
      <c r="B7" s="141"/>
      <c r="C7" s="141"/>
      <c r="D7" s="141"/>
      <c r="E7" s="141"/>
      <c r="F7" s="141"/>
      <c r="G7" s="141"/>
      <c r="H7" s="142"/>
      <c r="I7" s="53" t="s">
        <v>233</v>
      </c>
      <c r="J7" s="54"/>
      <c r="K7" s="56" t="str">
        <f>ADDRESS!I1</f>
        <v>CH Robinson</v>
      </c>
      <c r="L7" s="54"/>
      <c r="M7" s="55"/>
    </row>
    <row r="8" spans="1:13" x14ac:dyDescent="0.2">
      <c r="A8" s="160" t="s">
        <v>67</v>
      </c>
      <c r="B8" s="161"/>
      <c r="C8" s="161"/>
      <c r="D8" s="161"/>
      <c r="E8" s="162" t="s">
        <v>18</v>
      </c>
      <c r="F8" s="162"/>
      <c r="G8" s="162"/>
      <c r="H8" s="163"/>
      <c r="I8" s="160" t="s">
        <v>19</v>
      </c>
      <c r="J8" s="161"/>
      <c r="K8" s="161"/>
      <c r="L8" s="161"/>
      <c r="M8" s="164"/>
    </row>
    <row r="9" spans="1:13" ht="13.5" thickBot="1" x14ac:dyDescent="0.25">
      <c r="A9" s="160" t="s">
        <v>59</v>
      </c>
      <c r="B9" s="161"/>
      <c r="C9" s="161"/>
      <c r="D9" s="161"/>
      <c r="E9" s="161"/>
      <c r="F9" s="161"/>
      <c r="G9" s="161"/>
      <c r="H9" s="164"/>
      <c r="I9" s="57" t="s">
        <v>74</v>
      </c>
      <c r="J9" s="58"/>
      <c r="K9" s="58">
        <f>ADDRESS!I3</f>
        <v>10285609</v>
      </c>
      <c r="L9" s="58"/>
      <c r="M9" s="13"/>
    </row>
    <row r="10" spans="1:13" x14ac:dyDescent="0.2">
      <c r="A10" s="160" t="s">
        <v>69</v>
      </c>
      <c r="B10" s="161"/>
      <c r="C10" s="161"/>
      <c r="D10" s="161"/>
      <c r="E10" s="161"/>
      <c r="F10" s="161"/>
      <c r="G10" s="161"/>
      <c r="H10" s="164"/>
      <c r="I10" s="59" t="s">
        <v>234</v>
      </c>
      <c r="J10" s="60" t="str">
        <f>ADDRESS!I2</f>
        <v>RBTW</v>
      </c>
      <c r="K10" s="60"/>
      <c r="L10" s="60"/>
      <c r="M10" s="61"/>
    </row>
    <row r="11" spans="1:13" ht="13.5" thickBot="1" x14ac:dyDescent="0.25">
      <c r="A11" s="154" t="s">
        <v>17</v>
      </c>
      <c r="B11" s="155"/>
      <c r="C11" s="155"/>
      <c r="D11" s="155"/>
      <c r="E11" s="155"/>
      <c r="F11" s="156" t="s">
        <v>5</v>
      </c>
      <c r="G11" s="156"/>
      <c r="H11" s="13"/>
      <c r="I11" s="62" t="s">
        <v>235</v>
      </c>
      <c r="J11" s="63"/>
      <c r="K11" s="63">
        <f>ADDRESS!I4</f>
        <v>523953410</v>
      </c>
      <c r="L11" s="63"/>
      <c r="M11" s="64"/>
    </row>
    <row r="12" spans="1:13" ht="13.5" thickBot="1" x14ac:dyDescent="0.25">
      <c r="A12" s="140" t="s">
        <v>20</v>
      </c>
      <c r="B12" s="141"/>
      <c r="C12" s="141"/>
      <c r="D12" s="141"/>
      <c r="E12" s="141"/>
      <c r="F12" s="141"/>
      <c r="G12" s="141"/>
      <c r="H12" s="142"/>
      <c r="I12" s="131"/>
      <c r="J12" s="132"/>
      <c r="K12" s="132"/>
      <c r="L12" s="132"/>
      <c r="M12" s="133"/>
    </row>
    <row r="13" spans="1:13" x14ac:dyDescent="0.2">
      <c r="A13" s="157" t="s">
        <v>1</v>
      </c>
      <c r="B13" s="158"/>
      <c r="C13" s="158"/>
      <c r="D13" s="158"/>
      <c r="E13" s="158"/>
      <c r="F13" s="158"/>
      <c r="G13" s="158"/>
      <c r="H13" s="159"/>
      <c r="I13" s="131"/>
      <c r="J13" s="132"/>
      <c r="K13" s="132"/>
      <c r="L13" s="132"/>
      <c r="M13" s="133"/>
    </row>
    <row r="14" spans="1:13" ht="13.5" thickBot="1" x14ac:dyDescent="0.25">
      <c r="A14" s="128" t="s">
        <v>2</v>
      </c>
      <c r="B14" s="129"/>
      <c r="C14" s="129"/>
      <c r="D14" s="129"/>
      <c r="E14" s="129"/>
      <c r="F14" s="129"/>
      <c r="G14" s="129"/>
      <c r="H14" s="130"/>
      <c r="I14" s="134"/>
      <c r="J14" s="135"/>
      <c r="K14" s="135"/>
      <c r="L14" s="135"/>
      <c r="M14" s="136"/>
    </row>
    <row r="15" spans="1:13" ht="23.25" customHeight="1" x14ac:dyDescent="0.2">
      <c r="A15" s="180" t="s">
        <v>3</v>
      </c>
      <c r="B15" s="181"/>
      <c r="C15" s="181"/>
      <c r="D15" s="181"/>
      <c r="E15" s="181"/>
      <c r="F15" s="181"/>
      <c r="G15" s="181"/>
      <c r="H15" s="181"/>
      <c r="I15" s="182" t="s">
        <v>24</v>
      </c>
      <c r="J15" s="183"/>
      <c r="K15" s="183"/>
      <c r="L15" s="183"/>
      <c r="M15" s="184"/>
    </row>
    <row r="16" spans="1:13" x14ac:dyDescent="0.2">
      <c r="A16" s="65" t="s">
        <v>76</v>
      </c>
      <c r="B16" s="66"/>
      <c r="C16" s="66"/>
      <c r="D16" s="66"/>
      <c r="E16" s="66"/>
      <c r="F16" s="236">
        <f>ADDRESS!I5</f>
        <v>59642884</v>
      </c>
      <c r="G16" s="236"/>
      <c r="H16" s="237"/>
      <c r="I16" s="185" t="s">
        <v>61</v>
      </c>
      <c r="J16" s="186"/>
      <c r="K16" s="186"/>
      <c r="L16" s="186"/>
      <c r="M16" s="187"/>
    </row>
    <row r="17" spans="1:13" ht="14.25" customHeight="1" x14ac:dyDescent="0.2">
      <c r="A17" s="67"/>
      <c r="B17" s="68"/>
      <c r="C17" s="68"/>
      <c r="D17" s="68"/>
      <c r="E17" s="68"/>
      <c r="F17" s="68"/>
      <c r="G17" s="68"/>
      <c r="H17" s="69"/>
      <c r="I17" s="188"/>
      <c r="J17" s="189"/>
      <c r="K17" s="190" t="s">
        <v>26</v>
      </c>
      <c r="L17" s="190"/>
      <c r="M17" s="191"/>
    </row>
    <row r="18" spans="1:13" ht="10.5" customHeight="1" thickBot="1" x14ac:dyDescent="0.25">
      <c r="A18" s="67"/>
      <c r="B18" s="68"/>
      <c r="C18" s="68"/>
      <c r="D18" s="68"/>
      <c r="E18" s="68"/>
      <c r="F18" s="68"/>
      <c r="G18" s="68"/>
      <c r="H18" s="69"/>
      <c r="I18" s="194" t="s">
        <v>25</v>
      </c>
      <c r="J18" s="195"/>
      <c r="K18" s="192"/>
      <c r="L18" s="192"/>
      <c r="M18" s="193"/>
    </row>
    <row r="19" spans="1:13" x14ac:dyDescent="0.2">
      <c r="A19" s="165" t="s">
        <v>27</v>
      </c>
      <c r="B19" s="166"/>
      <c r="C19" s="166"/>
      <c r="D19" s="166"/>
      <c r="E19" s="166"/>
      <c r="F19" s="166"/>
      <c r="G19" s="166"/>
      <c r="H19" s="166"/>
      <c r="I19" s="166"/>
      <c r="J19" s="166"/>
      <c r="K19" s="166"/>
      <c r="L19" s="166"/>
      <c r="M19" s="167"/>
    </row>
    <row r="20" spans="1:13" ht="12" customHeight="1" x14ac:dyDescent="0.2">
      <c r="A20" s="168" t="s">
        <v>23</v>
      </c>
      <c r="B20" s="169"/>
      <c r="C20" s="169"/>
      <c r="D20" s="169"/>
      <c r="E20" s="169" t="s">
        <v>28</v>
      </c>
      <c r="F20" s="169" t="s">
        <v>10</v>
      </c>
      <c r="G20" s="169"/>
      <c r="H20" s="170" t="s">
        <v>29</v>
      </c>
      <c r="I20" s="171"/>
      <c r="J20" s="172" t="s">
        <v>31</v>
      </c>
      <c r="K20" s="173"/>
      <c r="L20" s="173"/>
      <c r="M20" s="174"/>
    </row>
    <row r="21" spans="1:13" ht="9.75" customHeight="1" x14ac:dyDescent="0.2">
      <c r="A21" s="168"/>
      <c r="B21" s="169"/>
      <c r="C21" s="169"/>
      <c r="D21" s="169"/>
      <c r="E21" s="169"/>
      <c r="F21" s="169"/>
      <c r="G21" s="169"/>
      <c r="H21" s="178" t="s">
        <v>30</v>
      </c>
      <c r="I21" s="179"/>
      <c r="J21" s="175"/>
      <c r="K21" s="176"/>
      <c r="L21" s="176"/>
      <c r="M21" s="177"/>
    </row>
    <row r="22" spans="1:13" x14ac:dyDescent="0.2">
      <c r="A22" s="196"/>
      <c r="B22" s="196"/>
      <c r="C22" s="196"/>
      <c r="D22" s="197"/>
      <c r="E22" s="10">
        <v>40</v>
      </c>
      <c r="F22" s="198">
        <v>40</v>
      </c>
      <c r="G22" s="198"/>
      <c r="H22" s="14" t="s">
        <v>54</v>
      </c>
      <c r="I22" s="14" t="s">
        <v>55</v>
      </c>
      <c r="J22" s="199"/>
      <c r="K22" s="199"/>
      <c r="L22" s="199"/>
      <c r="M22" s="200"/>
    </row>
    <row r="23" spans="1:13" x14ac:dyDescent="0.2">
      <c r="A23" s="196"/>
      <c r="B23" s="196"/>
      <c r="C23" s="196"/>
      <c r="D23" s="197"/>
      <c r="E23" s="10">
        <v>38</v>
      </c>
      <c r="F23" s="198">
        <v>38</v>
      </c>
      <c r="G23" s="198"/>
      <c r="H23" s="14" t="s">
        <v>54</v>
      </c>
      <c r="I23" s="14" t="s">
        <v>55</v>
      </c>
      <c r="J23" s="199"/>
      <c r="K23" s="199"/>
      <c r="L23" s="199"/>
      <c r="M23" s="200"/>
    </row>
    <row r="24" spans="1:13" x14ac:dyDescent="0.2">
      <c r="A24" s="196"/>
      <c r="B24" s="196"/>
      <c r="C24" s="196"/>
      <c r="D24" s="197"/>
      <c r="E24" s="10">
        <v>59</v>
      </c>
      <c r="F24" s="198">
        <v>59</v>
      </c>
      <c r="G24" s="198"/>
      <c r="H24" s="14" t="s">
        <v>54</v>
      </c>
      <c r="I24" s="14" t="s">
        <v>55</v>
      </c>
      <c r="J24" s="199"/>
      <c r="K24" s="199"/>
      <c r="L24" s="199"/>
      <c r="M24" s="200"/>
    </row>
    <row r="25" spans="1:13" x14ac:dyDescent="0.2">
      <c r="A25" s="196"/>
      <c r="B25" s="196"/>
      <c r="C25" s="196"/>
      <c r="D25" s="197"/>
      <c r="E25" s="10">
        <v>81</v>
      </c>
      <c r="F25" s="198">
        <v>81</v>
      </c>
      <c r="G25" s="198"/>
      <c r="H25" s="14" t="s">
        <v>54</v>
      </c>
      <c r="I25" s="14" t="s">
        <v>55</v>
      </c>
      <c r="J25" s="199"/>
      <c r="K25" s="199"/>
      <c r="L25" s="199"/>
      <c r="M25" s="200"/>
    </row>
    <row r="26" spans="1:13" x14ac:dyDescent="0.2">
      <c r="A26" s="196"/>
      <c r="B26" s="196"/>
      <c r="C26" s="196"/>
      <c r="D26" s="197"/>
      <c r="E26" s="10">
        <v>70</v>
      </c>
      <c r="F26" s="198">
        <v>70</v>
      </c>
      <c r="G26" s="198"/>
      <c r="H26" s="14" t="s">
        <v>54</v>
      </c>
      <c r="I26" s="14" t="s">
        <v>55</v>
      </c>
      <c r="J26" s="199"/>
      <c r="K26" s="199"/>
      <c r="L26" s="199"/>
      <c r="M26" s="200"/>
    </row>
    <row r="27" spans="1:13" x14ac:dyDescent="0.2">
      <c r="A27" s="196"/>
      <c r="B27" s="196"/>
      <c r="C27" s="196"/>
      <c r="D27" s="197"/>
      <c r="E27" s="10">
        <v>62</v>
      </c>
      <c r="F27" s="198">
        <v>62</v>
      </c>
      <c r="G27" s="198"/>
      <c r="H27" s="14" t="s">
        <v>54</v>
      </c>
      <c r="I27" s="14" t="s">
        <v>55</v>
      </c>
      <c r="J27" s="199"/>
      <c r="K27" s="199"/>
      <c r="L27" s="199"/>
      <c r="M27" s="200"/>
    </row>
    <row r="28" spans="1:13" x14ac:dyDescent="0.2">
      <c r="A28" s="196"/>
      <c r="B28" s="196"/>
      <c r="C28" s="196"/>
      <c r="D28" s="197"/>
      <c r="E28" s="10">
        <v>66</v>
      </c>
      <c r="F28" s="198">
        <v>66</v>
      </c>
      <c r="G28" s="198"/>
      <c r="H28" s="14" t="s">
        <v>54</v>
      </c>
      <c r="I28" s="14" t="s">
        <v>55</v>
      </c>
      <c r="J28" s="199"/>
      <c r="K28" s="199"/>
      <c r="L28" s="199"/>
      <c r="M28" s="200"/>
    </row>
    <row r="29" spans="1:13" x14ac:dyDescent="0.2">
      <c r="A29" s="196"/>
      <c r="B29" s="196"/>
      <c r="C29" s="196"/>
      <c r="D29" s="197"/>
      <c r="E29" s="10">
        <v>65</v>
      </c>
      <c r="F29" s="198">
        <v>65</v>
      </c>
      <c r="G29" s="198"/>
      <c r="H29" s="14" t="s">
        <v>54</v>
      </c>
      <c r="I29" s="14" t="s">
        <v>55</v>
      </c>
      <c r="J29" s="199"/>
      <c r="K29" s="199"/>
      <c r="L29" s="199"/>
      <c r="M29" s="200"/>
    </row>
    <row r="30" spans="1:13" x14ac:dyDescent="0.2">
      <c r="A30" s="206" t="s">
        <v>22</v>
      </c>
      <c r="B30" s="207"/>
      <c r="C30" s="207"/>
      <c r="D30" s="207"/>
      <c r="E30" s="16">
        <f>SUM(E22:E29,'Supplimental Master BOL'!E5:E25)</f>
        <v>1688</v>
      </c>
      <c r="F30" s="208">
        <f>SUM(F22:G29,'Supplimental Master BOL'!F5:G25)</f>
        <v>1688</v>
      </c>
      <c r="G30" s="199"/>
      <c r="H30" s="17"/>
      <c r="I30" s="17"/>
      <c r="J30" s="209"/>
      <c r="K30" s="209"/>
      <c r="L30" s="209"/>
      <c r="M30" s="210"/>
    </row>
    <row r="31" spans="1:13" x14ac:dyDescent="0.2">
      <c r="A31" s="165" t="s">
        <v>21</v>
      </c>
      <c r="B31" s="166"/>
      <c r="C31" s="166"/>
      <c r="D31" s="166"/>
      <c r="E31" s="166"/>
      <c r="F31" s="166"/>
      <c r="G31" s="166"/>
      <c r="H31" s="166"/>
      <c r="I31" s="166"/>
      <c r="J31" s="166"/>
      <c r="K31" s="166"/>
      <c r="L31" s="166"/>
      <c r="M31" s="167"/>
    </row>
    <row r="32" spans="1:13" x14ac:dyDescent="0.2">
      <c r="A32" s="211" t="s">
        <v>6</v>
      </c>
      <c r="B32" s="212"/>
      <c r="C32" s="212" t="s">
        <v>9</v>
      </c>
      <c r="D32" s="212"/>
      <c r="E32" s="213" t="s">
        <v>10</v>
      </c>
      <c r="F32" s="214" t="s">
        <v>11</v>
      </c>
      <c r="G32" s="215" t="s">
        <v>12</v>
      </c>
      <c r="H32" s="215"/>
      <c r="I32" s="215"/>
      <c r="J32" s="215"/>
      <c r="K32" s="215"/>
      <c r="L32" s="212" t="s">
        <v>13</v>
      </c>
      <c r="M32" s="216"/>
    </row>
    <row r="33" spans="1:22" ht="24.75" customHeight="1" x14ac:dyDescent="0.2">
      <c r="A33" s="18" t="s">
        <v>7</v>
      </c>
      <c r="B33" s="19" t="s">
        <v>8</v>
      </c>
      <c r="C33" s="19" t="s">
        <v>7</v>
      </c>
      <c r="D33" s="19" t="s">
        <v>8</v>
      </c>
      <c r="E33" s="213"/>
      <c r="F33" s="214"/>
      <c r="G33" s="201" t="s">
        <v>53</v>
      </c>
      <c r="H33" s="201"/>
      <c r="I33" s="201"/>
      <c r="J33" s="201"/>
      <c r="K33" s="201"/>
      <c r="L33" s="20" t="s">
        <v>14</v>
      </c>
      <c r="M33" s="21" t="s">
        <v>15</v>
      </c>
    </row>
    <row r="34" spans="1:22" x14ac:dyDescent="0.2">
      <c r="A34" s="22">
        <v>6</v>
      </c>
      <c r="B34" s="14" t="s">
        <v>68</v>
      </c>
      <c r="C34" s="23">
        <v>1688</v>
      </c>
      <c r="D34" s="14" t="s">
        <v>60</v>
      </c>
      <c r="E34" s="23">
        <v>6698</v>
      </c>
      <c r="F34" s="14"/>
      <c r="G34" s="202" t="s">
        <v>70</v>
      </c>
      <c r="H34" s="203"/>
      <c r="I34" s="203"/>
      <c r="J34" s="203"/>
      <c r="K34" s="204"/>
      <c r="L34" s="24"/>
      <c r="M34" s="25"/>
    </row>
    <row r="35" spans="1:22" x14ac:dyDescent="0.2">
      <c r="A35" s="22"/>
      <c r="B35" s="14"/>
      <c r="C35" s="14"/>
      <c r="D35" s="14"/>
      <c r="E35" s="14"/>
      <c r="F35" s="26"/>
      <c r="G35" s="202"/>
      <c r="H35" s="203"/>
      <c r="I35" s="203"/>
      <c r="J35" s="203"/>
      <c r="K35" s="204"/>
      <c r="L35" s="24"/>
      <c r="M35" s="25"/>
    </row>
    <row r="36" spans="1:22" x14ac:dyDescent="0.2">
      <c r="A36" s="22"/>
      <c r="B36" s="14"/>
      <c r="C36" s="14"/>
      <c r="D36" s="14"/>
      <c r="E36" s="14"/>
      <c r="F36" s="26"/>
      <c r="G36" s="202"/>
      <c r="H36" s="203"/>
      <c r="I36" s="203"/>
      <c r="J36" s="203"/>
      <c r="K36" s="204"/>
      <c r="L36" s="24"/>
      <c r="M36" s="25"/>
    </row>
    <row r="37" spans="1:22" x14ac:dyDescent="0.2">
      <c r="A37" s="22"/>
      <c r="B37" s="14"/>
      <c r="C37" s="14"/>
      <c r="D37" s="14"/>
      <c r="E37" s="14"/>
      <c r="F37" s="26"/>
      <c r="G37" s="202"/>
      <c r="H37" s="203"/>
      <c r="I37" s="203"/>
      <c r="J37" s="203"/>
      <c r="K37" s="204"/>
      <c r="L37" s="24"/>
      <c r="M37" s="25"/>
      <c r="Q37" s="205"/>
      <c r="R37" s="205"/>
      <c r="S37" s="27"/>
      <c r="T37" s="229"/>
      <c r="U37" s="229"/>
      <c r="V37" s="229"/>
    </row>
    <row r="38" spans="1:22" x14ac:dyDescent="0.2">
      <c r="A38" s="22"/>
      <c r="B38" s="14"/>
      <c r="C38" s="14"/>
      <c r="D38" s="14"/>
      <c r="E38" s="14"/>
      <c r="F38" s="26"/>
      <c r="G38" s="202"/>
      <c r="H38" s="203"/>
      <c r="I38" s="203"/>
      <c r="J38" s="203"/>
      <c r="K38" s="204"/>
      <c r="L38" s="24"/>
      <c r="M38" s="29"/>
      <c r="Q38" s="205"/>
      <c r="R38" s="205"/>
      <c r="S38" s="27"/>
      <c r="T38" s="229"/>
      <c r="U38" s="229"/>
      <c r="V38" s="229"/>
    </row>
    <row r="39" spans="1:22" x14ac:dyDescent="0.2">
      <c r="A39" s="22"/>
      <c r="B39" s="14"/>
      <c r="C39" s="14"/>
      <c r="D39" s="14"/>
      <c r="E39" s="14"/>
      <c r="F39" s="26"/>
      <c r="G39" s="202"/>
      <c r="H39" s="203"/>
      <c r="I39" s="203"/>
      <c r="J39" s="203"/>
      <c r="K39" s="204"/>
      <c r="L39" s="24"/>
      <c r="M39" s="29"/>
      <c r="Q39" s="30"/>
      <c r="R39" s="30"/>
      <c r="S39" s="230"/>
      <c r="T39" s="229"/>
      <c r="U39" s="229"/>
      <c r="V39" s="229"/>
    </row>
    <row r="40" spans="1:22" x14ac:dyDescent="0.2">
      <c r="A40" s="22"/>
      <c r="B40" s="14"/>
      <c r="C40" s="14"/>
      <c r="D40" s="14"/>
      <c r="E40" s="14"/>
      <c r="F40" s="26"/>
      <c r="G40" s="202"/>
      <c r="H40" s="203"/>
      <c r="I40" s="203"/>
      <c r="J40" s="203"/>
      <c r="K40" s="204"/>
      <c r="L40" s="24"/>
      <c r="M40" s="25"/>
      <c r="Q40" s="30"/>
      <c r="R40" s="30"/>
      <c r="S40" s="230"/>
      <c r="T40" s="229"/>
      <c r="U40" s="229"/>
      <c r="V40" s="229"/>
    </row>
    <row r="41" spans="1:22" x14ac:dyDescent="0.2">
      <c r="A41" s="22"/>
      <c r="B41" s="14"/>
      <c r="C41" s="14"/>
      <c r="D41" s="14"/>
      <c r="E41" s="14"/>
      <c r="F41" s="26"/>
      <c r="G41" s="202"/>
      <c r="H41" s="203"/>
      <c r="I41" s="203"/>
      <c r="J41" s="203"/>
      <c r="K41" s="204"/>
      <c r="L41" s="24"/>
      <c r="M41" s="25"/>
    </row>
    <row r="42" spans="1:22" ht="13.5" thickBot="1" x14ac:dyDescent="0.25">
      <c r="A42" s="31">
        <v>6</v>
      </c>
      <c r="B42" s="32"/>
      <c r="C42" s="33">
        <v>1688</v>
      </c>
      <c r="D42" s="32"/>
      <c r="E42" s="33">
        <v>1688</v>
      </c>
      <c r="F42" s="34"/>
      <c r="G42" s="275" t="s">
        <v>22</v>
      </c>
      <c r="H42" s="276"/>
      <c r="I42" s="276"/>
      <c r="J42" s="276"/>
      <c r="K42" s="277"/>
      <c r="L42" s="35"/>
      <c r="M42" s="36"/>
    </row>
    <row r="43" spans="1:22" ht="9" customHeight="1" x14ac:dyDescent="0.2">
      <c r="A43" s="252" t="s">
        <v>32</v>
      </c>
      <c r="B43" s="253"/>
      <c r="C43" s="253"/>
      <c r="D43" s="253"/>
      <c r="E43" s="253"/>
      <c r="F43" s="253"/>
      <c r="G43" s="253"/>
      <c r="H43" s="254"/>
      <c r="I43" s="278" t="s">
        <v>35</v>
      </c>
      <c r="J43" s="279"/>
      <c r="K43" s="279"/>
      <c r="L43" s="279"/>
      <c r="M43" s="280"/>
    </row>
    <row r="44" spans="1:22" ht="9.75" customHeight="1" x14ac:dyDescent="0.2">
      <c r="A44" s="255"/>
      <c r="B44" s="256"/>
      <c r="C44" s="256"/>
      <c r="D44" s="256"/>
      <c r="E44" s="256"/>
      <c r="F44" s="256"/>
      <c r="G44" s="256"/>
      <c r="H44" s="257"/>
      <c r="I44" s="281"/>
      <c r="J44" s="282"/>
      <c r="K44" s="282"/>
      <c r="L44" s="282"/>
      <c r="M44" s="283"/>
    </row>
    <row r="45" spans="1:22" ht="9.75" customHeight="1" x14ac:dyDescent="0.2">
      <c r="A45" s="217" t="s">
        <v>33</v>
      </c>
      <c r="B45" s="218"/>
      <c r="C45" s="218"/>
      <c r="D45" s="218"/>
      <c r="E45" s="218"/>
      <c r="F45" s="218"/>
      <c r="G45" s="218"/>
      <c r="H45" s="219"/>
      <c r="I45" s="220" t="s">
        <v>36</v>
      </c>
      <c r="J45" s="221"/>
      <c r="K45" s="221"/>
      <c r="L45" s="221"/>
      <c r="M45" s="222"/>
    </row>
    <row r="46" spans="1:22" ht="6.75" customHeight="1" x14ac:dyDescent="0.2">
      <c r="A46" s="217" t="s">
        <v>34</v>
      </c>
      <c r="B46" s="218"/>
      <c r="C46" s="218"/>
      <c r="D46" s="218"/>
      <c r="E46" s="218"/>
      <c r="F46" s="218"/>
      <c r="G46" s="218"/>
      <c r="H46" s="219"/>
      <c r="I46" s="220"/>
      <c r="J46" s="221"/>
      <c r="K46" s="221"/>
      <c r="L46" s="221"/>
      <c r="M46" s="222"/>
    </row>
    <row r="47" spans="1:22" ht="12" customHeight="1" thickBot="1" x14ac:dyDescent="0.25">
      <c r="A47" s="223"/>
      <c r="B47" s="224"/>
      <c r="C47" s="224"/>
      <c r="D47" s="224"/>
      <c r="E47" s="224"/>
      <c r="F47" s="224"/>
      <c r="G47" s="224"/>
      <c r="H47" s="225"/>
      <c r="I47" s="226" t="s">
        <v>37</v>
      </c>
      <c r="J47" s="227"/>
      <c r="K47" s="227"/>
      <c r="L47" s="227"/>
      <c r="M47" s="228"/>
    </row>
    <row r="48" spans="1:22" ht="13.5" thickBot="1" x14ac:dyDescent="0.25">
      <c r="A48" s="249" t="s">
        <v>38</v>
      </c>
      <c r="B48" s="250"/>
      <c r="C48" s="250"/>
      <c r="D48" s="250"/>
      <c r="E48" s="250"/>
      <c r="F48" s="250"/>
      <c r="G48" s="250"/>
      <c r="H48" s="250"/>
      <c r="I48" s="250"/>
      <c r="J48" s="250"/>
      <c r="K48" s="250"/>
      <c r="L48" s="250"/>
      <c r="M48" s="251"/>
    </row>
    <row r="49" spans="1:13" ht="11.25" customHeight="1" x14ac:dyDescent="0.2">
      <c r="A49" s="252" t="s">
        <v>39</v>
      </c>
      <c r="B49" s="253"/>
      <c r="C49" s="253"/>
      <c r="D49" s="253"/>
      <c r="E49" s="253"/>
      <c r="F49" s="253"/>
      <c r="G49" s="253"/>
      <c r="H49" s="254"/>
      <c r="I49" s="260" t="s">
        <v>40</v>
      </c>
      <c r="J49" s="261"/>
      <c r="K49" s="261"/>
      <c r="L49" s="261"/>
      <c r="M49" s="262"/>
    </row>
    <row r="50" spans="1:13" x14ac:dyDescent="0.2">
      <c r="A50" s="255"/>
      <c r="B50" s="256"/>
      <c r="C50" s="256"/>
      <c r="D50" s="256"/>
      <c r="E50" s="256"/>
      <c r="F50" s="256"/>
      <c r="G50" s="256"/>
      <c r="H50" s="257"/>
      <c r="I50" s="263"/>
      <c r="J50" s="264"/>
      <c r="K50" s="264"/>
      <c r="L50" s="264"/>
      <c r="M50" s="265"/>
    </row>
    <row r="51" spans="1:13" ht="13.5" thickBot="1" x14ac:dyDescent="0.25">
      <c r="A51" s="258"/>
      <c r="B51" s="259"/>
      <c r="C51" s="259"/>
      <c r="D51" s="259"/>
      <c r="E51" s="256"/>
      <c r="F51" s="256"/>
      <c r="G51" s="256"/>
      <c r="H51" s="257"/>
      <c r="I51" s="266" t="s">
        <v>41</v>
      </c>
      <c r="J51" s="267"/>
      <c r="K51" s="268"/>
      <c r="L51" s="268"/>
      <c r="M51" s="269"/>
    </row>
    <row r="52" spans="1:13" x14ac:dyDescent="0.2">
      <c r="A52" s="270" t="s">
        <v>42</v>
      </c>
      <c r="B52" s="271"/>
      <c r="C52" s="271"/>
      <c r="D52" s="271"/>
      <c r="E52" s="37" t="s">
        <v>44</v>
      </c>
      <c r="F52" s="38"/>
      <c r="G52" s="272" t="s">
        <v>45</v>
      </c>
      <c r="H52" s="272"/>
      <c r="I52" s="272"/>
      <c r="J52" s="273"/>
      <c r="K52" s="271" t="s">
        <v>50</v>
      </c>
      <c r="L52" s="271"/>
      <c r="M52" s="274"/>
    </row>
    <row r="53" spans="1:13" ht="3.75" customHeight="1" x14ac:dyDescent="0.2">
      <c r="A53" s="238" t="s">
        <v>43</v>
      </c>
      <c r="B53" s="239"/>
      <c r="C53" s="239"/>
      <c r="D53" s="239"/>
      <c r="E53" s="39"/>
      <c r="F53" s="40"/>
      <c r="G53" s="40"/>
      <c r="H53" s="40"/>
      <c r="I53" s="40"/>
      <c r="J53" s="41"/>
      <c r="K53" s="239" t="s">
        <v>52</v>
      </c>
      <c r="L53" s="239"/>
      <c r="M53" s="240"/>
    </row>
    <row r="54" spans="1:13" ht="14.25" customHeight="1" x14ac:dyDescent="0.2">
      <c r="A54" s="238"/>
      <c r="B54" s="239"/>
      <c r="C54" s="239"/>
      <c r="D54" s="239"/>
      <c r="E54" s="241" t="s">
        <v>46</v>
      </c>
      <c r="F54" s="242"/>
      <c r="G54" s="42"/>
      <c r="H54" s="231" t="s">
        <v>46</v>
      </c>
      <c r="I54" s="231"/>
      <c r="J54" s="232"/>
      <c r="K54" s="239"/>
      <c r="L54" s="239"/>
      <c r="M54" s="240"/>
    </row>
    <row r="55" spans="1:13" ht="9" customHeight="1" x14ac:dyDescent="0.2">
      <c r="A55" s="238"/>
      <c r="B55" s="239"/>
      <c r="C55" s="239"/>
      <c r="D55" s="239"/>
      <c r="E55" s="241" t="s">
        <v>47</v>
      </c>
      <c r="F55" s="242"/>
      <c r="G55" s="242"/>
      <c r="H55" s="231" t="s">
        <v>48</v>
      </c>
      <c r="I55" s="231"/>
      <c r="J55" s="232"/>
      <c r="K55" s="239"/>
      <c r="L55" s="239"/>
      <c r="M55" s="240"/>
    </row>
    <row r="56" spans="1:13" ht="6" customHeight="1" x14ac:dyDescent="0.2">
      <c r="A56" s="243"/>
      <c r="B56" s="162"/>
      <c r="C56" s="162"/>
      <c r="D56" s="163"/>
      <c r="E56" s="241"/>
      <c r="F56" s="242"/>
      <c r="G56" s="242"/>
      <c r="H56" s="231"/>
      <c r="I56" s="231"/>
      <c r="J56" s="232"/>
      <c r="K56" s="247" t="s">
        <v>51</v>
      </c>
      <c r="L56" s="247"/>
      <c r="M56" s="248"/>
    </row>
    <row r="57" spans="1:13" ht="14.25" customHeight="1" x14ac:dyDescent="0.2">
      <c r="A57" s="243"/>
      <c r="B57" s="162"/>
      <c r="C57" s="162"/>
      <c r="D57" s="163"/>
      <c r="E57" s="241"/>
      <c r="F57" s="242"/>
      <c r="G57" s="42"/>
      <c r="H57" s="231" t="s">
        <v>49</v>
      </c>
      <c r="I57" s="231"/>
      <c r="J57" s="232"/>
      <c r="K57" s="43"/>
      <c r="L57" s="44"/>
      <c r="M57" s="45"/>
    </row>
    <row r="58" spans="1:13" ht="12.75" customHeight="1" thickBot="1" x14ac:dyDescent="0.25">
      <c r="A58" s="244"/>
      <c r="B58" s="245"/>
      <c r="C58" s="245"/>
      <c r="D58" s="246"/>
      <c r="E58" s="233"/>
      <c r="F58" s="234"/>
      <c r="G58" s="234"/>
      <c r="H58" s="234"/>
      <c r="I58" s="234"/>
      <c r="J58" s="235"/>
      <c r="K58" s="46"/>
      <c r="L58" s="47"/>
      <c r="M58" s="48"/>
    </row>
    <row r="59" spans="1:13" ht="26.25" customHeight="1" x14ac:dyDescent="0.2">
      <c r="A59" s="49"/>
      <c r="B59" s="49"/>
      <c r="C59" s="49"/>
      <c r="D59" s="49"/>
      <c r="E59" s="30"/>
      <c r="F59" s="30"/>
      <c r="G59" s="30"/>
      <c r="H59" s="28"/>
      <c r="I59" s="28"/>
      <c r="J59" s="28"/>
    </row>
  </sheetData>
  <mergeCells count="112">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A43:H44"/>
    <mergeCell ref="I43:M44"/>
    <mergeCell ref="A45:H45"/>
    <mergeCell ref="I45:M46"/>
    <mergeCell ref="A46:H47"/>
    <mergeCell ref="I47:M47"/>
    <mergeCell ref="T37:V37"/>
    <mergeCell ref="G38:K38"/>
    <mergeCell ref="Q38:R38"/>
    <mergeCell ref="T38:V38"/>
    <mergeCell ref="G39:K39"/>
    <mergeCell ref="S39:S40"/>
    <mergeCell ref="T39:V40"/>
    <mergeCell ref="G40:K40"/>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28:D28"/>
    <mergeCell ref="F28:G28"/>
    <mergeCell ref="J28:M28"/>
    <mergeCell ref="A29:D29"/>
    <mergeCell ref="F29:G29"/>
    <mergeCell ref="J29:M29"/>
    <mergeCell ref="A26:D26"/>
    <mergeCell ref="F26:G26"/>
    <mergeCell ref="J26:M26"/>
    <mergeCell ref="A27:D27"/>
    <mergeCell ref="F27:G27"/>
    <mergeCell ref="J27:M27"/>
    <mergeCell ref="A24:D24"/>
    <mergeCell ref="F24:G24"/>
    <mergeCell ref="J24:M24"/>
    <mergeCell ref="A25:D25"/>
    <mergeCell ref="F25:G25"/>
    <mergeCell ref="J25:M25"/>
    <mergeCell ref="A22:D22"/>
    <mergeCell ref="F22:G22"/>
    <mergeCell ref="J22:M22"/>
    <mergeCell ref="A23:D23"/>
    <mergeCell ref="F23:G23"/>
    <mergeCell ref="J23:M23"/>
    <mergeCell ref="A19:M19"/>
    <mergeCell ref="A20:D21"/>
    <mergeCell ref="E20:E21"/>
    <mergeCell ref="F20:G21"/>
    <mergeCell ref="H20:I20"/>
    <mergeCell ref="J20:M21"/>
    <mergeCell ref="H21:I21"/>
    <mergeCell ref="A15:H15"/>
    <mergeCell ref="I15:M15"/>
    <mergeCell ref="I16:M16"/>
    <mergeCell ref="I17:J17"/>
    <mergeCell ref="K17:M18"/>
    <mergeCell ref="I18:J18"/>
    <mergeCell ref="A11:E11"/>
    <mergeCell ref="F11:G11"/>
    <mergeCell ref="A12:H12"/>
    <mergeCell ref="I12:M14"/>
    <mergeCell ref="A13:H13"/>
    <mergeCell ref="A14:H14"/>
    <mergeCell ref="A8:D8"/>
    <mergeCell ref="E8:H8"/>
    <mergeCell ref="I8:M8"/>
    <mergeCell ref="A9:H9"/>
    <mergeCell ref="A10:H10"/>
    <mergeCell ref="A4:H4"/>
    <mergeCell ref="I4:M6"/>
    <mergeCell ref="A5:H5"/>
    <mergeCell ref="A6:E6"/>
    <mergeCell ref="F6:G6"/>
    <mergeCell ref="A7:H7"/>
    <mergeCell ref="A1:B1"/>
    <mergeCell ref="C1:K1"/>
    <mergeCell ref="L1:M1"/>
    <mergeCell ref="A2:H2"/>
    <mergeCell ref="I2:M3"/>
    <mergeCell ref="A3:H3"/>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M61"/>
  <sheetViews>
    <sheetView topLeftCell="A24" workbookViewId="0">
      <selection activeCell="F25" sqref="F25:G25"/>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5.425781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143" t="s">
        <v>237</v>
      </c>
      <c r="B1" s="144"/>
      <c r="C1" s="145" t="s">
        <v>57</v>
      </c>
      <c r="D1" s="145"/>
      <c r="E1" s="145"/>
      <c r="F1" s="145"/>
      <c r="G1" s="145"/>
      <c r="H1" s="145"/>
      <c r="I1" s="145"/>
      <c r="J1" s="145"/>
      <c r="K1" s="145"/>
      <c r="L1" s="146" t="s">
        <v>63</v>
      </c>
      <c r="M1" s="147"/>
    </row>
    <row r="2" spans="1:13" x14ac:dyDescent="0.2">
      <c r="A2" s="165" t="s">
        <v>27</v>
      </c>
      <c r="B2" s="166"/>
      <c r="C2" s="166"/>
      <c r="D2" s="166"/>
      <c r="E2" s="166"/>
      <c r="F2" s="166"/>
      <c r="G2" s="166"/>
      <c r="H2" s="166"/>
      <c r="I2" s="166"/>
      <c r="J2" s="166"/>
      <c r="K2" s="166"/>
      <c r="L2" s="166"/>
      <c r="M2" s="167"/>
    </row>
    <row r="3" spans="1:13" ht="12" customHeight="1" x14ac:dyDescent="0.2">
      <c r="A3" s="168" t="s">
        <v>23</v>
      </c>
      <c r="B3" s="169"/>
      <c r="C3" s="169"/>
      <c r="D3" s="169"/>
      <c r="E3" s="169" t="s">
        <v>28</v>
      </c>
      <c r="F3" s="169" t="s">
        <v>10</v>
      </c>
      <c r="G3" s="169"/>
      <c r="H3" s="170" t="s">
        <v>29</v>
      </c>
      <c r="I3" s="171"/>
      <c r="J3" s="172" t="s">
        <v>31</v>
      </c>
      <c r="K3" s="173"/>
      <c r="L3" s="173"/>
      <c r="M3" s="174"/>
    </row>
    <row r="4" spans="1:13" ht="9.75" customHeight="1" x14ac:dyDescent="0.2">
      <c r="A4" s="168"/>
      <c r="B4" s="169"/>
      <c r="C4" s="169"/>
      <c r="D4" s="169"/>
      <c r="E4" s="169"/>
      <c r="F4" s="169"/>
      <c r="G4" s="169"/>
      <c r="H4" s="178" t="s">
        <v>30</v>
      </c>
      <c r="I4" s="179"/>
      <c r="J4" s="175"/>
      <c r="K4" s="176"/>
      <c r="L4" s="176"/>
      <c r="M4" s="177"/>
    </row>
    <row r="5" spans="1:13" x14ac:dyDescent="0.2">
      <c r="A5" s="284"/>
      <c r="B5" s="196"/>
      <c r="C5" s="196"/>
      <c r="D5" s="196"/>
      <c r="E5" s="10">
        <v>61</v>
      </c>
      <c r="F5" s="285">
        <v>61</v>
      </c>
      <c r="G5" s="286"/>
      <c r="H5" s="14" t="s">
        <v>54</v>
      </c>
      <c r="I5" s="14" t="s">
        <v>55</v>
      </c>
      <c r="J5" s="199"/>
      <c r="K5" s="199"/>
      <c r="L5" s="199"/>
      <c r="M5" s="200"/>
    </row>
    <row r="6" spans="1:13" x14ac:dyDescent="0.2">
      <c r="A6" s="284"/>
      <c r="B6" s="196"/>
      <c r="C6" s="196"/>
      <c r="D6" s="196"/>
      <c r="E6" s="10">
        <v>83</v>
      </c>
      <c r="F6" s="285">
        <v>83</v>
      </c>
      <c r="G6" s="286"/>
      <c r="H6" s="14" t="s">
        <v>54</v>
      </c>
      <c r="I6" s="14" t="s">
        <v>55</v>
      </c>
      <c r="J6" s="199"/>
      <c r="K6" s="199"/>
      <c r="L6" s="199"/>
      <c r="M6" s="200"/>
    </row>
    <row r="7" spans="1:13" x14ac:dyDescent="0.2">
      <c r="A7" s="284"/>
      <c r="B7" s="196"/>
      <c r="C7" s="196"/>
      <c r="D7" s="196"/>
      <c r="E7" s="10">
        <v>70</v>
      </c>
      <c r="F7" s="285">
        <v>70</v>
      </c>
      <c r="G7" s="286"/>
      <c r="H7" s="14" t="s">
        <v>54</v>
      </c>
      <c r="I7" s="14" t="s">
        <v>55</v>
      </c>
      <c r="J7" s="199"/>
      <c r="K7" s="199"/>
      <c r="L7" s="199"/>
      <c r="M7" s="200"/>
    </row>
    <row r="8" spans="1:13" x14ac:dyDescent="0.2">
      <c r="A8" s="284"/>
      <c r="B8" s="196"/>
      <c r="C8" s="196"/>
      <c r="D8" s="196"/>
      <c r="E8" s="10">
        <v>50</v>
      </c>
      <c r="F8" s="285">
        <v>50</v>
      </c>
      <c r="G8" s="286"/>
      <c r="H8" s="14" t="s">
        <v>54</v>
      </c>
      <c r="I8" s="14" t="s">
        <v>55</v>
      </c>
      <c r="J8" s="199"/>
      <c r="K8" s="199"/>
      <c r="L8" s="199"/>
      <c r="M8" s="200"/>
    </row>
    <row r="9" spans="1:13" x14ac:dyDescent="0.2">
      <c r="A9" s="284"/>
      <c r="B9" s="196"/>
      <c r="C9" s="196"/>
      <c r="D9" s="196"/>
      <c r="E9" s="10">
        <v>70</v>
      </c>
      <c r="F9" s="285">
        <v>70</v>
      </c>
      <c r="G9" s="286"/>
      <c r="H9" s="14" t="s">
        <v>54</v>
      </c>
      <c r="I9" s="14" t="s">
        <v>55</v>
      </c>
      <c r="J9" s="199"/>
      <c r="K9" s="199"/>
      <c r="L9" s="199"/>
      <c r="M9" s="200"/>
    </row>
    <row r="10" spans="1:13" x14ac:dyDescent="0.2">
      <c r="A10" s="284"/>
      <c r="B10" s="196"/>
      <c r="C10" s="196"/>
      <c r="D10" s="196"/>
      <c r="E10" s="10">
        <v>69</v>
      </c>
      <c r="F10" s="285">
        <v>69</v>
      </c>
      <c r="G10" s="286"/>
      <c r="H10" s="14" t="s">
        <v>54</v>
      </c>
      <c r="I10" s="14" t="s">
        <v>55</v>
      </c>
      <c r="J10" s="199"/>
      <c r="K10" s="199"/>
      <c r="L10" s="199"/>
      <c r="M10" s="200"/>
    </row>
    <row r="11" spans="1:13" x14ac:dyDescent="0.2">
      <c r="A11" s="284"/>
      <c r="B11" s="196"/>
      <c r="C11" s="196"/>
      <c r="D11" s="196"/>
      <c r="E11" s="10">
        <v>54</v>
      </c>
      <c r="F11" s="285">
        <v>54</v>
      </c>
      <c r="G11" s="286"/>
      <c r="H11" s="14" t="s">
        <v>54</v>
      </c>
      <c r="I11" s="14" t="s">
        <v>55</v>
      </c>
      <c r="J11" s="199"/>
      <c r="K11" s="199"/>
      <c r="L11" s="199"/>
      <c r="M11" s="200"/>
    </row>
    <row r="12" spans="1:13" x14ac:dyDescent="0.2">
      <c r="A12" s="284"/>
      <c r="B12" s="196"/>
      <c r="C12" s="196"/>
      <c r="D12" s="196"/>
      <c r="E12" s="10">
        <v>65</v>
      </c>
      <c r="F12" s="285">
        <v>65</v>
      </c>
      <c r="G12" s="286"/>
      <c r="H12" s="14" t="s">
        <v>54</v>
      </c>
      <c r="I12" s="14" t="s">
        <v>55</v>
      </c>
      <c r="J12" s="199"/>
      <c r="K12" s="199"/>
      <c r="L12" s="199"/>
      <c r="M12" s="200"/>
    </row>
    <row r="13" spans="1:13" x14ac:dyDescent="0.2">
      <c r="A13" s="284"/>
      <c r="B13" s="196"/>
      <c r="C13" s="196"/>
      <c r="D13" s="196"/>
      <c r="E13" s="10">
        <v>65</v>
      </c>
      <c r="F13" s="285">
        <v>65</v>
      </c>
      <c r="G13" s="286"/>
      <c r="H13" s="14" t="s">
        <v>54</v>
      </c>
      <c r="I13" s="14" t="s">
        <v>55</v>
      </c>
      <c r="J13" s="199"/>
      <c r="K13" s="199"/>
      <c r="L13" s="199"/>
      <c r="M13" s="200"/>
    </row>
    <row r="14" spans="1:13" x14ac:dyDescent="0.2">
      <c r="A14" s="284"/>
      <c r="B14" s="196"/>
      <c r="C14" s="196"/>
      <c r="D14" s="196"/>
      <c r="E14" s="10">
        <v>70</v>
      </c>
      <c r="F14" s="285">
        <v>70</v>
      </c>
      <c r="G14" s="286"/>
      <c r="H14" s="14" t="s">
        <v>54</v>
      </c>
      <c r="I14" s="14" t="s">
        <v>55</v>
      </c>
      <c r="J14" s="199"/>
      <c r="K14" s="199"/>
      <c r="L14" s="199"/>
      <c r="M14" s="200"/>
    </row>
    <row r="15" spans="1:13" x14ac:dyDescent="0.2">
      <c r="A15" s="284"/>
      <c r="B15" s="196"/>
      <c r="C15" s="196"/>
      <c r="D15" s="196"/>
      <c r="E15" s="10">
        <v>55</v>
      </c>
      <c r="F15" s="285">
        <v>55</v>
      </c>
      <c r="G15" s="286"/>
      <c r="H15" s="14" t="s">
        <v>54</v>
      </c>
      <c r="I15" s="14" t="s">
        <v>55</v>
      </c>
      <c r="J15" s="199"/>
      <c r="K15" s="199"/>
      <c r="L15" s="199"/>
      <c r="M15" s="200"/>
    </row>
    <row r="16" spans="1:13" x14ac:dyDescent="0.2">
      <c r="A16" s="284"/>
      <c r="B16" s="196"/>
      <c r="C16" s="196"/>
      <c r="D16" s="196"/>
      <c r="E16" s="10">
        <v>54</v>
      </c>
      <c r="F16" s="285">
        <v>54</v>
      </c>
      <c r="G16" s="286"/>
      <c r="H16" s="14" t="s">
        <v>54</v>
      </c>
      <c r="I16" s="14" t="s">
        <v>55</v>
      </c>
      <c r="J16" s="199"/>
      <c r="K16" s="199"/>
      <c r="L16" s="199"/>
      <c r="M16" s="200"/>
    </row>
    <row r="17" spans="1:13" x14ac:dyDescent="0.2">
      <c r="A17" s="284"/>
      <c r="B17" s="196"/>
      <c r="C17" s="196"/>
      <c r="D17" s="196"/>
      <c r="E17" s="10">
        <v>76</v>
      </c>
      <c r="F17" s="285">
        <v>76</v>
      </c>
      <c r="G17" s="286"/>
      <c r="H17" s="14" t="s">
        <v>54</v>
      </c>
      <c r="I17" s="14" t="s">
        <v>55</v>
      </c>
      <c r="J17" s="199"/>
      <c r="K17" s="199"/>
      <c r="L17" s="199"/>
      <c r="M17" s="200"/>
    </row>
    <row r="18" spans="1:13" x14ac:dyDescent="0.2">
      <c r="A18" s="284"/>
      <c r="B18" s="196"/>
      <c r="C18" s="196"/>
      <c r="D18" s="196"/>
      <c r="E18" s="10">
        <v>76</v>
      </c>
      <c r="F18" s="285">
        <v>76</v>
      </c>
      <c r="G18" s="286"/>
      <c r="H18" s="14" t="s">
        <v>54</v>
      </c>
      <c r="I18" s="14" t="s">
        <v>55</v>
      </c>
      <c r="J18" s="199"/>
      <c r="K18" s="199"/>
      <c r="L18" s="199"/>
      <c r="M18" s="200"/>
    </row>
    <row r="19" spans="1:13" x14ac:dyDescent="0.2">
      <c r="A19" s="284"/>
      <c r="B19" s="196"/>
      <c r="C19" s="196"/>
      <c r="D19" s="196"/>
      <c r="E19" s="10">
        <v>65</v>
      </c>
      <c r="F19" s="285">
        <v>65</v>
      </c>
      <c r="G19" s="286"/>
      <c r="H19" s="14" t="s">
        <v>54</v>
      </c>
      <c r="I19" s="14" t="s">
        <v>55</v>
      </c>
      <c r="J19" s="199"/>
      <c r="K19" s="199"/>
      <c r="L19" s="199"/>
      <c r="M19" s="200"/>
    </row>
    <row r="20" spans="1:13" x14ac:dyDescent="0.2">
      <c r="A20" s="284"/>
      <c r="B20" s="196"/>
      <c r="C20" s="196"/>
      <c r="D20" s="196"/>
      <c r="E20" s="10">
        <v>56</v>
      </c>
      <c r="F20" s="285">
        <v>56</v>
      </c>
      <c r="G20" s="286"/>
      <c r="H20" s="14" t="s">
        <v>54</v>
      </c>
      <c r="I20" s="14" t="s">
        <v>55</v>
      </c>
      <c r="J20" s="199"/>
      <c r="K20" s="199"/>
      <c r="L20" s="199"/>
      <c r="M20" s="200"/>
    </row>
    <row r="21" spans="1:13" x14ac:dyDescent="0.2">
      <c r="A21" s="284"/>
      <c r="B21" s="196"/>
      <c r="C21" s="196"/>
      <c r="D21" s="196"/>
      <c r="E21" s="10">
        <v>83</v>
      </c>
      <c r="F21" s="285">
        <v>83</v>
      </c>
      <c r="G21" s="286"/>
      <c r="H21" s="14" t="s">
        <v>54</v>
      </c>
      <c r="I21" s="14" t="s">
        <v>55</v>
      </c>
      <c r="J21" s="199"/>
      <c r="K21" s="199"/>
      <c r="L21" s="199"/>
      <c r="M21" s="200"/>
    </row>
    <row r="22" spans="1:13" x14ac:dyDescent="0.2">
      <c r="A22" s="284"/>
      <c r="B22" s="196"/>
      <c r="C22" s="196"/>
      <c r="D22" s="196"/>
      <c r="E22" s="10">
        <v>27</v>
      </c>
      <c r="F22" s="285">
        <v>27</v>
      </c>
      <c r="G22" s="286"/>
      <c r="H22" s="14" t="s">
        <v>54</v>
      </c>
      <c r="I22" s="14" t="s">
        <v>55</v>
      </c>
      <c r="J22" s="199"/>
      <c r="K22" s="199"/>
      <c r="L22" s="199"/>
      <c r="M22" s="200"/>
    </row>
    <row r="23" spans="1:13" x14ac:dyDescent="0.2">
      <c r="A23" s="284"/>
      <c r="B23" s="196"/>
      <c r="C23" s="196"/>
      <c r="D23" s="196"/>
      <c r="E23" s="10">
        <v>16</v>
      </c>
      <c r="F23" s="285">
        <v>16</v>
      </c>
      <c r="G23" s="286"/>
      <c r="H23" s="14" t="s">
        <v>54</v>
      </c>
      <c r="I23" s="14" t="s">
        <v>55</v>
      </c>
      <c r="J23" s="199"/>
      <c r="K23" s="199"/>
      <c r="L23" s="199"/>
      <c r="M23" s="200"/>
    </row>
    <row r="24" spans="1:13" x14ac:dyDescent="0.2">
      <c r="A24" s="284"/>
      <c r="B24" s="196"/>
      <c r="C24" s="196"/>
      <c r="D24" s="196"/>
      <c r="E24" s="10">
        <v>26</v>
      </c>
      <c r="F24" s="285">
        <v>26</v>
      </c>
      <c r="G24" s="286"/>
      <c r="H24" s="14" t="s">
        <v>54</v>
      </c>
      <c r="I24" s="14" t="s">
        <v>55</v>
      </c>
      <c r="J24" s="199"/>
      <c r="K24" s="199"/>
      <c r="L24" s="199"/>
      <c r="M24" s="200"/>
    </row>
    <row r="25" spans="1:13" x14ac:dyDescent="0.2">
      <c r="A25" s="284"/>
      <c r="B25" s="196"/>
      <c r="C25" s="196"/>
      <c r="D25" s="196"/>
      <c r="E25" s="10">
        <v>16</v>
      </c>
      <c r="F25" s="285">
        <v>16</v>
      </c>
      <c r="G25" s="286"/>
      <c r="H25" s="14" t="s">
        <v>54</v>
      </c>
      <c r="I25" s="14" t="s">
        <v>55</v>
      </c>
      <c r="J25" s="199"/>
      <c r="K25" s="199"/>
      <c r="L25" s="199"/>
      <c r="M25" s="200"/>
    </row>
    <row r="26" spans="1:13" x14ac:dyDescent="0.2">
      <c r="A26" s="287"/>
      <c r="B26" s="288"/>
      <c r="C26" s="288"/>
      <c r="D26" s="288"/>
      <c r="E26" s="15"/>
      <c r="F26" s="199"/>
      <c r="G26" s="199"/>
      <c r="H26" s="15"/>
      <c r="I26" s="15"/>
      <c r="J26" s="199"/>
      <c r="K26" s="199"/>
      <c r="L26" s="199"/>
      <c r="M26" s="200"/>
    </row>
    <row r="27" spans="1:13" x14ac:dyDescent="0.2">
      <c r="A27" s="287"/>
      <c r="B27" s="288"/>
      <c r="C27" s="288"/>
      <c r="D27" s="288"/>
      <c r="E27" s="15"/>
      <c r="F27" s="199"/>
      <c r="G27" s="199"/>
      <c r="H27" s="15"/>
      <c r="I27" s="15"/>
      <c r="J27" s="199"/>
      <c r="K27" s="199"/>
      <c r="L27" s="199"/>
      <c r="M27" s="200"/>
    </row>
    <row r="28" spans="1:13" x14ac:dyDescent="0.2">
      <c r="A28" s="287"/>
      <c r="B28" s="288"/>
      <c r="C28" s="288"/>
      <c r="D28" s="288"/>
      <c r="E28" s="15"/>
      <c r="F28" s="199"/>
      <c r="G28" s="199"/>
      <c r="H28" s="15"/>
      <c r="I28" s="15"/>
      <c r="J28" s="199"/>
      <c r="K28" s="199"/>
      <c r="L28" s="199"/>
      <c r="M28" s="200"/>
    </row>
    <row r="29" spans="1:13" x14ac:dyDescent="0.2">
      <c r="A29" s="287"/>
      <c r="B29" s="288"/>
      <c r="C29" s="288"/>
      <c r="D29" s="288"/>
      <c r="E29" s="15"/>
      <c r="F29" s="199"/>
      <c r="G29" s="199"/>
      <c r="H29" s="15"/>
      <c r="I29" s="15"/>
      <c r="J29" s="199"/>
      <c r="K29" s="199"/>
      <c r="L29" s="199"/>
      <c r="M29" s="200"/>
    </row>
    <row r="30" spans="1:13" x14ac:dyDescent="0.2">
      <c r="A30" s="287"/>
      <c r="B30" s="288"/>
      <c r="C30" s="288"/>
      <c r="D30" s="288"/>
      <c r="E30" s="15"/>
      <c r="F30" s="199"/>
      <c r="G30" s="199"/>
      <c r="H30" s="15"/>
      <c r="I30" s="15"/>
      <c r="J30" s="199"/>
      <c r="K30" s="199"/>
      <c r="L30" s="199"/>
      <c r="M30" s="200"/>
    </row>
    <row r="31" spans="1:13" x14ac:dyDescent="0.2">
      <c r="A31" s="287"/>
      <c r="B31" s="288"/>
      <c r="C31" s="288"/>
      <c r="D31" s="288"/>
      <c r="E31" s="15"/>
      <c r="F31" s="199"/>
      <c r="G31" s="199"/>
      <c r="H31" s="15"/>
      <c r="I31" s="15"/>
      <c r="J31" s="199"/>
      <c r="K31" s="199"/>
      <c r="L31" s="199"/>
      <c r="M31" s="200"/>
    </row>
    <row r="32" spans="1:13" x14ac:dyDescent="0.2">
      <c r="A32" s="287"/>
      <c r="B32" s="288"/>
      <c r="C32" s="288"/>
      <c r="D32" s="288"/>
      <c r="E32" s="15"/>
      <c r="F32" s="199"/>
      <c r="G32" s="199"/>
      <c r="H32" s="15"/>
      <c r="I32" s="15"/>
      <c r="J32" s="199"/>
      <c r="K32" s="199"/>
      <c r="L32" s="199"/>
      <c r="M32" s="200"/>
    </row>
    <row r="33" spans="1:13" x14ac:dyDescent="0.2">
      <c r="A33" s="287"/>
      <c r="B33" s="288"/>
      <c r="C33" s="288"/>
      <c r="D33" s="288"/>
      <c r="E33" s="15"/>
      <c r="F33" s="199"/>
      <c r="G33" s="199"/>
      <c r="H33" s="15"/>
      <c r="I33" s="15"/>
      <c r="J33" s="199"/>
      <c r="K33" s="199"/>
      <c r="L33" s="199"/>
      <c r="M33" s="200"/>
    </row>
    <row r="34" spans="1:13" x14ac:dyDescent="0.2">
      <c r="A34" s="287"/>
      <c r="B34" s="288"/>
      <c r="C34" s="288"/>
      <c r="D34" s="288"/>
      <c r="E34" s="15"/>
      <c r="F34" s="199"/>
      <c r="G34" s="199"/>
      <c r="H34" s="15"/>
      <c r="I34" s="15"/>
      <c r="J34" s="199"/>
      <c r="K34" s="199"/>
      <c r="L34" s="199"/>
      <c r="M34" s="200"/>
    </row>
    <row r="35" spans="1:13" x14ac:dyDescent="0.2">
      <c r="A35" s="287"/>
      <c r="B35" s="288"/>
      <c r="C35" s="288"/>
      <c r="D35" s="288"/>
      <c r="E35" s="15"/>
      <c r="F35" s="199"/>
      <c r="G35" s="199"/>
      <c r="H35" s="15"/>
      <c r="I35" s="15"/>
      <c r="J35" s="199"/>
      <c r="K35" s="199"/>
      <c r="L35" s="199"/>
      <c r="M35" s="200"/>
    </row>
    <row r="36" spans="1:13" x14ac:dyDescent="0.2">
      <c r="A36" s="287"/>
      <c r="B36" s="288"/>
      <c r="C36" s="288"/>
      <c r="D36" s="288"/>
      <c r="E36" s="15"/>
      <c r="F36" s="199"/>
      <c r="G36" s="199"/>
      <c r="H36" s="15"/>
      <c r="I36" s="15"/>
      <c r="J36" s="199"/>
      <c r="K36" s="199"/>
      <c r="L36" s="199"/>
      <c r="M36" s="200"/>
    </row>
    <row r="37" spans="1:13" x14ac:dyDescent="0.2">
      <c r="A37" s="287"/>
      <c r="B37" s="288"/>
      <c r="C37" s="288"/>
      <c r="D37" s="288"/>
      <c r="E37" s="15"/>
      <c r="F37" s="199"/>
      <c r="G37" s="199"/>
      <c r="H37" s="15"/>
      <c r="I37" s="15"/>
      <c r="J37" s="199"/>
      <c r="K37" s="199"/>
      <c r="L37" s="199"/>
      <c r="M37" s="200"/>
    </row>
    <row r="38" spans="1:13" x14ac:dyDescent="0.2">
      <c r="A38" s="287"/>
      <c r="B38" s="288"/>
      <c r="C38" s="288"/>
      <c r="D38" s="288"/>
      <c r="E38" s="15"/>
      <c r="F38" s="199"/>
      <c r="G38" s="199"/>
      <c r="H38" s="15"/>
      <c r="I38" s="15"/>
      <c r="J38" s="199"/>
      <c r="K38" s="199"/>
      <c r="L38" s="199"/>
      <c r="M38" s="200"/>
    </row>
    <row r="39" spans="1:13" x14ac:dyDescent="0.2">
      <c r="A39" s="287"/>
      <c r="B39" s="288"/>
      <c r="C39" s="288"/>
      <c r="D39" s="288"/>
      <c r="E39" s="15"/>
      <c r="F39" s="199"/>
      <c r="G39" s="199"/>
      <c r="H39" s="15"/>
      <c r="I39" s="15"/>
      <c r="J39" s="199"/>
      <c r="K39" s="199"/>
      <c r="L39" s="199"/>
      <c r="M39" s="200"/>
    </row>
    <row r="40" spans="1:13" x14ac:dyDescent="0.2">
      <c r="A40" s="287"/>
      <c r="B40" s="288"/>
      <c r="C40" s="288"/>
      <c r="D40" s="288"/>
      <c r="E40" s="15"/>
      <c r="F40" s="199"/>
      <c r="G40" s="199"/>
      <c r="H40" s="15"/>
      <c r="I40" s="15"/>
      <c r="J40" s="199"/>
      <c r="K40" s="199"/>
      <c r="L40" s="199"/>
      <c r="M40" s="200"/>
    </row>
    <row r="41" spans="1:13" x14ac:dyDescent="0.2">
      <c r="A41" s="287"/>
      <c r="B41" s="288"/>
      <c r="C41" s="288"/>
      <c r="D41" s="288"/>
      <c r="E41" s="15"/>
      <c r="F41" s="199"/>
      <c r="G41" s="199"/>
      <c r="H41" s="15"/>
      <c r="I41" s="15"/>
      <c r="J41" s="199"/>
      <c r="K41" s="199"/>
      <c r="L41" s="199"/>
      <c r="M41" s="200"/>
    </row>
    <row r="42" spans="1:13" x14ac:dyDescent="0.2">
      <c r="A42" s="287"/>
      <c r="B42" s="288"/>
      <c r="C42" s="288"/>
      <c r="D42" s="288"/>
      <c r="E42" s="15"/>
      <c r="F42" s="199"/>
      <c r="G42" s="199"/>
      <c r="H42" s="15"/>
      <c r="I42" s="15"/>
      <c r="J42" s="199"/>
      <c r="K42" s="199"/>
      <c r="L42" s="199"/>
      <c r="M42" s="200"/>
    </row>
    <row r="43" spans="1:13" x14ac:dyDescent="0.2">
      <c r="A43" s="287"/>
      <c r="B43" s="288"/>
      <c r="C43" s="288"/>
      <c r="D43" s="288"/>
      <c r="E43" s="15"/>
      <c r="F43" s="199"/>
      <c r="G43" s="199"/>
      <c r="H43" s="15"/>
      <c r="I43" s="15"/>
      <c r="J43" s="199"/>
      <c r="K43" s="199"/>
      <c r="L43" s="199"/>
      <c r="M43" s="200"/>
    </row>
    <row r="44" spans="1:13" x14ac:dyDescent="0.2">
      <c r="A44" s="287"/>
      <c r="B44" s="288"/>
      <c r="C44" s="288"/>
      <c r="D44" s="288"/>
      <c r="E44" s="15"/>
      <c r="F44" s="199"/>
      <c r="G44" s="199"/>
      <c r="H44" s="15"/>
      <c r="I44" s="15"/>
      <c r="J44" s="199"/>
      <c r="K44" s="199"/>
      <c r="L44" s="199"/>
      <c r="M44" s="200"/>
    </row>
    <row r="45" spans="1:13" x14ac:dyDescent="0.2">
      <c r="A45" s="287"/>
      <c r="B45" s="288"/>
      <c r="C45" s="288"/>
      <c r="D45" s="288"/>
      <c r="E45" s="15"/>
      <c r="F45" s="199"/>
      <c r="G45" s="199"/>
      <c r="H45" s="15"/>
      <c r="I45" s="15"/>
      <c r="J45" s="199"/>
      <c r="K45" s="199"/>
      <c r="L45" s="199"/>
      <c r="M45" s="200"/>
    </row>
    <row r="46" spans="1:13" x14ac:dyDescent="0.2">
      <c r="A46" s="287"/>
      <c r="B46" s="288"/>
      <c r="C46" s="288"/>
      <c r="D46" s="288"/>
      <c r="E46" s="15"/>
      <c r="F46" s="199"/>
      <c r="G46" s="199"/>
      <c r="H46" s="15"/>
      <c r="I46" s="15"/>
      <c r="J46" s="199"/>
      <c r="K46" s="199"/>
      <c r="L46" s="199"/>
      <c r="M46" s="200"/>
    </row>
    <row r="47" spans="1:13" x14ac:dyDescent="0.2">
      <c r="A47" s="287"/>
      <c r="B47" s="288"/>
      <c r="C47" s="288"/>
      <c r="D47" s="288"/>
      <c r="E47" s="15"/>
      <c r="F47" s="199"/>
      <c r="G47" s="199"/>
      <c r="H47" s="15"/>
      <c r="I47" s="15"/>
      <c r="J47" s="199"/>
      <c r="K47" s="199"/>
      <c r="L47" s="199"/>
      <c r="M47" s="200"/>
    </row>
    <row r="48" spans="1:13" x14ac:dyDescent="0.2">
      <c r="A48" s="287"/>
      <c r="B48" s="288"/>
      <c r="C48" s="288"/>
      <c r="D48" s="288"/>
      <c r="E48" s="15"/>
      <c r="F48" s="199"/>
      <c r="G48" s="199"/>
      <c r="H48" s="15"/>
      <c r="I48" s="15"/>
      <c r="J48" s="199"/>
      <c r="K48" s="199"/>
      <c r="L48" s="199"/>
      <c r="M48" s="200"/>
    </row>
    <row r="49" spans="1:13" x14ac:dyDescent="0.2">
      <c r="A49" s="287"/>
      <c r="B49" s="288"/>
      <c r="C49" s="288"/>
      <c r="D49" s="288"/>
      <c r="E49" s="15"/>
      <c r="F49" s="199"/>
      <c r="G49" s="199"/>
      <c r="H49" s="15"/>
      <c r="I49" s="15"/>
      <c r="J49" s="199"/>
      <c r="K49" s="199"/>
      <c r="L49" s="199"/>
      <c r="M49" s="200"/>
    </row>
    <row r="50" spans="1:13" x14ac:dyDescent="0.2">
      <c r="A50" s="206" t="s">
        <v>22</v>
      </c>
      <c r="B50" s="207"/>
      <c r="C50" s="207"/>
      <c r="D50" s="207"/>
      <c r="E50" s="23">
        <f>SUM(E5:E25,BOL!E22:E29)</f>
        <v>1688</v>
      </c>
      <c r="F50" s="301">
        <f>SUM(F5:F25,BOL!F22:F29)</f>
        <v>1688</v>
      </c>
      <c r="G50" s="302"/>
      <c r="H50" s="50"/>
      <c r="I50" s="51"/>
      <c r="J50" s="303"/>
      <c r="K50" s="303"/>
      <c r="L50" s="303"/>
      <c r="M50" s="304"/>
    </row>
    <row r="51" spans="1:13" x14ac:dyDescent="0.2">
      <c r="A51" s="289" t="s">
        <v>58</v>
      </c>
      <c r="B51" s="290"/>
      <c r="C51" s="290"/>
      <c r="D51" s="290"/>
      <c r="E51" s="290"/>
      <c r="F51" s="290"/>
      <c r="G51" s="290"/>
      <c r="H51" s="290"/>
      <c r="I51" s="290"/>
      <c r="J51" s="290"/>
      <c r="K51" s="290"/>
      <c r="L51" s="290"/>
      <c r="M51" s="291"/>
    </row>
    <row r="52" spans="1:13" x14ac:dyDescent="0.2">
      <c r="A52" s="292"/>
      <c r="B52" s="293"/>
      <c r="C52" s="293"/>
      <c r="D52" s="293"/>
      <c r="E52" s="293"/>
      <c r="F52" s="293"/>
      <c r="G52" s="293"/>
      <c r="H52" s="293"/>
      <c r="I52" s="293"/>
      <c r="J52" s="293"/>
      <c r="K52" s="293"/>
      <c r="L52" s="293"/>
      <c r="M52" s="294"/>
    </row>
    <row r="53" spans="1:13" x14ac:dyDescent="0.2">
      <c r="A53" s="295"/>
      <c r="B53" s="296"/>
      <c r="C53" s="296"/>
      <c r="D53" s="296"/>
      <c r="E53" s="296"/>
      <c r="F53" s="296"/>
      <c r="G53" s="296"/>
      <c r="H53" s="296"/>
      <c r="I53" s="296"/>
      <c r="J53" s="296"/>
      <c r="K53" s="296"/>
      <c r="L53" s="296"/>
      <c r="M53" s="297"/>
    </row>
    <row r="54" spans="1:13" x14ac:dyDescent="0.2">
      <c r="A54" s="295"/>
      <c r="B54" s="296"/>
      <c r="C54" s="296"/>
      <c r="D54" s="296"/>
      <c r="E54" s="296"/>
      <c r="F54" s="296"/>
      <c r="G54" s="296"/>
      <c r="H54" s="296"/>
      <c r="I54" s="296"/>
      <c r="J54" s="296"/>
      <c r="K54" s="296"/>
      <c r="L54" s="296"/>
      <c r="M54" s="297"/>
    </row>
    <row r="55" spans="1:13" x14ac:dyDescent="0.2">
      <c r="A55" s="295"/>
      <c r="B55" s="296"/>
      <c r="C55" s="296"/>
      <c r="D55" s="296"/>
      <c r="E55" s="296"/>
      <c r="F55" s="296"/>
      <c r="G55" s="296"/>
      <c r="H55" s="296"/>
      <c r="I55" s="296"/>
      <c r="J55" s="296"/>
      <c r="K55" s="296"/>
      <c r="L55" s="296"/>
      <c r="M55" s="297"/>
    </row>
    <row r="56" spans="1:13" x14ac:dyDescent="0.2">
      <c r="A56" s="295"/>
      <c r="B56" s="296"/>
      <c r="C56" s="296"/>
      <c r="D56" s="296"/>
      <c r="E56" s="296"/>
      <c r="F56" s="296"/>
      <c r="G56" s="296"/>
      <c r="H56" s="296"/>
      <c r="I56" s="296"/>
      <c r="J56" s="296"/>
      <c r="K56" s="296"/>
      <c r="L56" s="296"/>
      <c r="M56" s="297"/>
    </row>
    <row r="57" spans="1:13" x14ac:dyDescent="0.2">
      <c r="A57" s="295"/>
      <c r="B57" s="296"/>
      <c r="C57" s="296"/>
      <c r="D57" s="296"/>
      <c r="E57" s="296"/>
      <c r="F57" s="296"/>
      <c r="G57" s="296"/>
      <c r="H57" s="296"/>
      <c r="I57" s="296"/>
      <c r="J57" s="296"/>
      <c r="K57" s="296"/>
      <c r="L57" s="296"/>
      <c r="M57" s="297"/>
    </row>
    <row r="58" spans="1:13" x14ac:dyDescent="0.2">
      <c r="A58" s="295"/>
      <c r="B58" s="296"/>
      <c r="C58" s="296"/>
      <c r="D58" s="296"/>
      <c r="E58" s="296"/>
      <c r="F58" s="296"/>
      <c r="G58" s="296"/>
      <c r="H58" s="296"/>
      <c r="I58" s="296"/>
      <c r="J58" s="296"/>
      <c r="K58" s="296"/>
      <c r="L58" s="296"/>
      <c r="M58" s="297"/>
    </row>
    <row r="59" spans="1:13" x14ac:dyDescent="0.2">
      <c r="A59" s="295"/>
      <c r="B59" s="296"/>
      <c r="C59" s="296"/>
      <c r="D59" s="296"/>
      <c r="E59" s="296"/>
      <c r="F59" s="296"/>
      <c r="G59" s="296"/>
      <c r="H59" s="296"/>
      <c r="I59" s="296"/>
      <c r="J59" s="296"/>
      <c r="K59" s="296"/>
      <c r="L59" s="296"/>
      <c r="M59" s="297"/>
    </row>
    <row r="60" spans="1:13" x14ac:dyDescent="0.2">
      <c r="A60" s="298"/>
      <c r="B60" s="299"/>
      <c r="C60" s="299"/>
      <c r="D60" s="299"/>
      <c r="E60" s="299"/>
      <c r="F60" s="299"/>
      <c r="G60" s="299"/>
      <c r="H60" s="299"/>
      <c r="I60" s="299"/>
      <c r="J60" s="299"/>
      <c r="K60" s="299"/>
      <c r="L60" s="299"/>
      <c r="M60" s="300"/>
    </row>
    <row r="61" spans="1:13" ht="26.25" customHeight="1" x14ac:dyDescent="0.2">
      <c r="A61" s="49"/>
      <c r="B61" s="49"/>
      <c r="C61" s="49"/>
      <c r="D61" s="49"/>
      <c r="E61" s="30"/>
      <c r="F61" s="30"/>
      <c r="G61" s="30"/>
      <c r="H61" s="28"/>
      <c r="I61" s="28"/>
      <c r="J61" s="28"/>
    </row>
  </sheetData>
  <mergeCells count="150">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 ref="A45:D45"/>
    <mergeCell ref="F45:G45"/>
    <mergeCell ref="J45:M45"/>
    <mergeCell ref="A46:D46"/>
    <mergeCell ref="F46:G46"/>
    <mergeCell ref="J46:M46"/>
    <mergeCell ref="A43:D43"/>
    <mergeCell ref="F43:G43"/>
    <mergeCell ref="J43:M43"/>
    <mergeCell ref="A44:D44"/>
    <mergeCell ref="F44:G44"/>
    <mergeCell ref="J44:M44"/>
    <mergeCell ref="A41:D41"/>
    <mergeCell ref="F41:G41"/>
    <mergeCell ref="J41:M41"/>
    <mergeCell ref="A42:D42"/>
    <mergeCell ref="F42:G42"/>
    <mergeCell ref="J42:M42"/>
    <mergeCell ref="A39:D39"/>
    <mergeCell ref="F39:G39"/>
    <mergeCell ref="J39:M39"/>
    <mergeCell ref="A40:D40"/>
    <mergeCell ref="F40:G40"/>
    <mergeCell ref="J40:M40"/>
    <mergeCell ref="A37:D37"/>
    <mergeCell ref="F37:G37"/>
    <mergeCell ref="J37:M37"/>
    <mergeCell ref="A38:D38"/>
    <mergeCell ref="F38:G38"/>
    <mergeCell ref="J38:M38"/>
    <mergeCell ref="A35:D35"/>
    <mergeCell ref="F35:G35"/>
    <mergeCell ref="J35:M35"/>
    <mergeCell ref="A36:D36"/>
    <mergeCell ref="F36:G36"/>
    <mergeCell ref="J36:M36"/>
    <mergeCell ref="A33:D33"/>
    <mergeCell ref="F33:G33"/>
    <mergeCell ref="J33:M33"/>
    <mergeCell ref="A34:D34"/>
    <mergeCell ref="F34:G34"/>
    <mergeCell ref="J34:M34"/>
    <mergeCell ref="A31:D31"/>
    <mergeCell ref="F31:G31"/>
    <mergeCell ref="J31:M31"/>
    <mergeCell ref="A32:D32"/>
    <mergeCell ref="F32:G32"/>
    <mergeCell ref="J32:M32"/>
    <mergeCell ref="A29:D29"/>
    <mergeCell ref="F29:G29"/>
    <mergeCell ref="J29:M29"/>
    <mergeCell ref="A30:D30"/>
    <mergeCell ref="F30:G30"/>
    <mergeCell ref="J30:M30"/>
    <mergeCell ref="A27:D27"/>
    <mergeCell ref="F27:G27"/>
    <mergeCell ref="J27:M27"/>
    <mergeCell ref="A28:D28"/>
    <mergeCell ref="F28:G28"/>
    <mergeCell ref="J28:M28"/>
    <mergeCell ref="A25:D25"/>
    <mergeCell ref="F25:G25"/>
    <mergeCell ref="J25:M25"/>
    <mergeCell ref="A26:D26"/>
    <mergeCell ref="F26:G26"/>
    <mergeCell ref="J26:M26"/>
    <mergeCell ref="A23:D23"/>
    <mergeCell ref="F23:G23"/>
    <mergeCell ref="J23:M23"/>
    <mergeCell ref="A24:D24"/>
    <mergeCell ref="F24:G24"/>
    <mergeCell ref="J24:M24"/>
    <mergeCell ref="A21:D21"/>
    <mergeCell ref="F21:G21"/>
    <mergeCell ref="J21:M21"/>
    <mergeCell ref="A22:D22"/>
    <mergeCell ref="F22:G22"/>
    <mergeCell ref="J22:M22"/>
    <mergeCell ref="A19:D19"/>
    <mergeCell ref="F19:G19"/>
    <mergeCell ref="J19:M19"/>
    <mergeCell ref="A20:D20"/>
    <mergeCell ref="F20:G20"/>
    <mergeCell ref="J20:M20"/>
    <mergeCell ref="A17:D17"/>
    <mergeCell ref="F17:G17"/>
    <mergeCell ref="J17:M17"/>
    <mergeCell ref="A18:D18"/>
    <mergeCell ref="F18:G18"/>
    <mergeCell ref="J18:M18"/>
    <mergeCell ref="A15:D15"/>
    <mergeCell ref="F15:G15"/>
    <mergeCell ref="J15:M15"/>
    <mergeCell ref="A16:D16"/>
    <mergeCell ref="F16:G16"/>
    <mergeCell ref="J16:M16"/>
    <mergeCell ref="A13:D13"/>
    <mergeCell ref="F13:G13"/>
    <mergeCell ref="J13:M13"/>
    <mergeCell ref="A14:D14"/>
    <mergeCell ref="F14:G14"/>
    <mergeCell ref="J14:M14"/>
    <mergeCell ref="A11:D11"/>
    <mergeCell ref="F11:G11"/>
    <mergeCell ref="J11:M11"/>
    <mergeCell ref="A12:D12"/>
    <mergeCell ref="F12:G12"/>
    <mergeCell ref="J12:M12"/>
    <mergeCell ref="A9:D9"/>
    <mergeCell ref="F9:G9"/>
    <mergeCell ref="J9:M9"/>
    <mergeCell ref="A10:D10"/>
    <mergeCell ref="F10:G10"/>
    <mergeCell ref="J10:M10"/>
    <mergeCell ref="A7:D7"/>
    <mergeCell ref="F7:G7"/>
    <mergeCell ref="J7:M7"/>
    <mergeCell ref="A8:D8"/>
    <mergeCell ref="F8:G8"/>
    <mergeCell ref="J8:M8"/>
    <mergeCell ref="A5:D5"/>
    <mergeCell ref="F5:G5"/>
    <mergeCell ref="J5:M5"/>
    <mergeCell ref="A6:D6"/>
    <mergeCell ref="F6:G6"/>
    <mergeCell ref="J6:M6"/>
    <mergeCell ref="A1:B1"/>
    <mergeCell ref="C1:K1"/>
    <mergeCell ref="L1:M1"/>
    <mergeCell ref="A2:M2"/>
    <mergeCell ref="A3:D4"/>
    <mergeCell ref="E3:E4"/>
    <mergeCell ref="F3:G4"/>
    <mergeCell ref="H3:I3"/>
    <mergeCell ref="J3:M4"/>
    <mergeCell ref="H4:I4"/>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V59"/>
  <sheetViews>
    <sheetView workbookViewId="0">
      <selection activeCell="B8" sqref="B8"/>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3" max="13" width="9" customWidth="1"/>
  </cols>
  <sheetData>
    <row r="1" spans="1:13" ht="18.75" thickBot="1" x14ac:dyDescent="0.3">
      <c r="A1" s="78" t="s">
        <v>238</v>
      </c>
      <c r="B1" s="421">
        <v>45877</v>
      </c>
      <c r="C1" s="421"/>
      <c r="F1" s="79"/>
      <c r="G1" s="79" t="s">
        <v>71</v>
      </c>
      <c r="H1" s="79"/>
      <c r="I1" s="79"/>
      <c r="J1" s="80"/>
      <c r="K1" s="80"/>
      <c r="L1" s="426" t="s">
        <v>72</v>
      </c>
      <c r="M1" s="427"/>
    </row>
    <row r="2" spans="1:13" ht="13.5" thickBot="1" x14ac:dyDescent="0.25">
      <c r="A2" s="423" t="s">
        <v>0</v>
      </c>
      <c r="B2" s="424"/>
      <c r="C2" s="424"/>
      <c r="D2" s="424"/>
      <c r="E2" s="424"/>
      <c r="F2" s="424"/>
      <c r="G2" s="424"/>
      <c r="H2" s="425"/>
      <c r="I2" s="81"/>
      <c r="J2" s="82"/>
      <c r="K2" s="82"/>
      <c r="L2" s="81"/>
      <c r="M2" s="83"/>
    </row>
    <row r="3" spans="1:13" x14ac:dyDescent="0.2">
      <c r="A3" s="388" t="s">
        <v>66</v>
      </c>
      <c r="B3" s="389"/>
      <c r="C3" s="389"/>
      <c r="D3" s="389"/>
      <c r="E3" s="389"/>
      <c r="F3" s="389"/>
      <c r="G3" s="389"/>
      <c r="H3" s="390"/>
      <c r="I3" s="84" t="s">
        <v>193</v>
      </c>
      <c r="J3" s="82"/>
      <c r="K3" s="85"/>
      <c r="L3" s="82"/>
      <c r="M3" s="86"/>
    </row>
    <row r="4" spans="1:13" x14ac:dyDescent="0.2">
      <c r="A4" s="388" t="s">
        <v>64</v>
      </c>
      <c r="B4" s="389"/>
      <c r="C4" s="389"/>
      <c r="D4" s="389"/>
      <c r="E4" s="389"/>
      <c r="F4" s="389"/>
      <c r="G4" s="389"/>
      <c r="H4" s="390"/>
      <c r="I4" s="433"/>
      <c r="J4" s="417"/>
      <c r="K4" s="417"/>
      <c r="L4" s="417"/>
      <c r="M4" s="418"/>
    </row>
    <row r="5" spans="1:13" x14ac:dyDescent="0.2">
      <c r="A5" s="388" t="s">
        <v>65</v>
      </c>
      <c r="B5" s="389"/>
      <c r="C5" s="389"/>
      <c r="D5" s="389"/>
      <c r="E5" s="389"/>
      <c r="F5" s="389"/>
      <c r="G5" s="389"/>
      <c r="H5" s="390"/>
      <c r="I5" s="433"/>
      <c r="J5" s="417"/>
      <c r="K5" s="417"/>
      <c r="L5" s="417"/>
      <c r="M5" s="418"/>
    </row>
    <row r="6" spans="1:13" ht="13.5" thickBot="1" x14ac:dyDescent="0.25">
      <c r="A6" s="431" t="s">
        <v>4</v>
      </c>
      <c r="B6" s="387"/>
      <c r="C6" s="387"/>
      <c r="D6" s="387"/>
      <c r="E6" s="387"/>
      <c r="F6" s="432" t="s">
        <v>5</v>
      </c>
      <c r="G6" s="432"/>
      <c r="H6" s="87"/>
      <c r="I6" s="434"/>
      <c r="J6" s="435"/>
      <c r="K6" s="435"/>
      <c r="L6" s="435"/>
      <c r="M6" s="436"/>
    </row>
    <row r="7" spans="1:13" x14ac:dyDescent="0.2">
      <c r="A7" s="438" t="s">
        <v>16</v>
      </c>
      <c r="B7" s="439"/>
      <c r="C7" s="439"/>
      <c r="D7" s="439"/>
      <c r="E7" s="439"/>
      <c r="F7" s="439"/>
      <c r="G7" s="439"/>
      <c r="H7" s="440"/>
      <c r="I7" s="88" t="s">
        <v>233</v>
      </c>
      <c r="J7" s="89"/>
      <c r="K7" s="90" t="str">
        <f>ADDRESS!I1</f>
        <v>CH Robinson</v>
      </c>
      <c r="L7" s="89"/>
      <c r="M7" s="91"/>
    </row>
    <row r="8" spans="1:13" x14ac:dyDescent="0.2">
      <c r="A8" s="92" t="s">
        <v>1</v>
      </c>
      <c r="B8" s="124" t="s">
        <v>113</v>
      </c>
      <c r="C8" s="93"/>
      <c r="D8" s="93"/>
      <c r="E8" s="384" t="s">
        <v>18</v>
      </c>
      <c r="F8" s="384"/>
      <c r="G8" s="384"/>
      <c r="H8" s="385"/>
      <c r="I8" s="437" t="s">
        <v>19</v>
      </c>
      <c r="J8" s="389"/>
      <c r="K8" s="389"/>
      <c r="L8" s="389"/>
      <c r="M8" s="390"/>
    </row>
    <row r="9" spans="1:13" ht="13.5" thickBot="1" x14ac:dyDescent="0.25">
      <c r="A9" s="94" t="s">
        <v>2</v>
      </c>
      <c r="B9" t="str">
        <f>VLOOKUP(B8,ADDRESS!$A$2:$E$30,2,FALSE)</f>
        <v>13790 Harvey Road</v>
      </c>
      <c r="H9" s="95"/>
      <c r="I9" s="96" t="s">
        <v>74</v>
      </c>
      <c r="J9" s="97"/>
      <c r="K9" s="97">
        <f>ADDRESS!I3</f>
        <v>10285609</v>
      </c>
      <c r="L9" s="97"/>
      <c r="M9" s="87"/>
    </row>
    <row r="10" spans="1:13" x14ac:dyDescent="0.2">
      <c r="A10" s="98" t="s">
        <v>73</v>
      </c>
      <c r="C10" s="416" t="str">
        <f>CONCATENATE(VLOOKUP(B8,ADDRESS!$A$2:$E$30,3,FALSE),", ",VLOOKUP(B8,ADDRESS!$A$2:$E$30,4,FALSE)," ",VLOOKUP(B8,ADDRESS!$A$2:$E$30,5,FALSE))</f>
        <v>TYLER, TX 75706</v>
      </c>
      <c r="D10" s="416"/>
      <c r="E10" s="416"/>
      <c r="F10" s="416"/>
      <c r="G10" s="416"/>
      <c r="H10" s="95"/>
      <c r="I10" s="99" t="s">
        <v>234</v>
      </c>
      <c r="J10" s="100" t="str">
        <f>ADDRESS!I2</f>
        <v>RBTW</v>
      </c>
      <c r="K10" s="100"/>
      <c r="L10" s="100"/>
      <c r="M10" s="101"/>
    </row>
    <row r="11" spans="1:13" ht="13.5" thickBot="1" x14ac:dyDescent="0.25">
      <c r="A11" s="386" t="s">
        <v>17</v>
      </c>
      <c r="B11" s="387"/>
      <c r="C11" s="387"/>
      <c r="D11" s="387"/>
      <c r="E11" s="387"/>
      <c r="F11" s="432" t="s">
        <v>5</v>
      </c>
      <c r="G11" s="432"/>
      <c r="H11" s="87"/>
      <c r="I11" s="419" t="s">
        <v>75</v>
      </c>
      <c r="J11" s="420"/>
      <c r="K11" s="102">
        <f>ADDRESS!I4</f>
        <v>523953410</v>
      </c>
      <c r="L11" s="102"/>
      <c r="M11" s="103"/>
    </row>
    <row r="12" spans="1:13" ht="13.5" thickBot="1" x14ac:dyDescent="0.25">
      <c r="A12" s="355" t="s">
        <v>20</v>
      </c>
      <c r="B12" s="356"/>
      <c r="C12" s="356"/>
      <c r="D12" s="356"/>
      <c r="E12" s="356"/>
      <c r="F12" s="356"/>
      <c r="G12" s="356"/>
      <c r="H12" s="357"/>
      <c r="I12" s="433"/>
      <c r="J12" s="417"/>
      <c r="K12" s="417"/>
      <c r="L12" s="417"/>
      <c r="M12" s="418"/>
    </row>
    <row r="13" spans="1:13" x14ac:dyDescent="0.2">
      <c r="A13" s="428" t="s">
        <v>1</v>
      </c>
      <c r="B13" s="429"/>
      <c r="C13" s="429"/>
      <c r="D13" s="429"/>
      <c r="E13" s="429"/>
      <c r="F13" s="429"/>
      <c r="G13" s="429"/>
      <c r="H13" s="430"/>
      <c r="I13" s="433"/>
      <c r="J13" s="417"/>
      <c r="K13" s="417"/>
      <c r="L13" s="417"/>
      <c r="M13" s="418"/>
    </row>
    <row r="14" spans="1:13" ht="13.5" thickBot="1" x14ac:dyDescent="0.25">
      <c r="A14" s="388" t="s">
        <v>2</v>
      </c>
      <c r="B14" s="389"/>
      <c r="C14" s="389"/>
      <c r="D14" s="389"/>
      <c r="E14" s="389"/>
      <c r="F14" s="389"/>
      <c r="G14" s="389"/>
      <c r="H14" s="390"/>
      <c r="I14" s="434"/>
      <c r="J14" s="435"/>
      <c r="K14" s="435"/>
      <c r="L14" s="435"/>
      <c r="M14" s="436"/>
    </row>
    <row r="15" spans="1:13" ht="23.25" customHeight="1" x14ac:dyDescent="0.2">
      <c r="A15" s="398" t="s">
        <v>3</v>
      </c>
      <c r="B15" s="399"/>
      <c r="C15" s="399"/>
      <c r="D15" s="399"/>
      <c r="E15" s="399"/>
      <c r="F15" s="400"/>
      <c r="G15" s="400"/>
      <c r="H15" s="400"/>
      <c r="I15" s="395" t="s">
        <v>24</v>
      </c>
      <c r="J15" s="396"/>
      <c r="K15" s="396"/>
      <c r="L15" s="396"/>
      <c r="M15" s="397"/>
    </row>
    <row r="16" spans="1:13" x14ac:dyDescent="0.2">
      <c r="A16" s="70"/>
      <c r="B16" s="70"/>
      <c r="C16" s="70"/>
      <c r="D16" s="70"/>
      <c r="E16" s="70"/>
      <c r="F16" s="71"/>
      <c r="G16" s="71"/>
      <c r="H16" s="72"/>
      <c r="I16" s="410" t="s">
        <v>61</v>
      </c>
      <c r="J16" s="411"/>
      <c r="K16" s="411"/>
      <c r="L16" s="411"/>
      <c r="M16" s="412"/>
    </row>
    <row r="17" spans="1:13" ht="14.25" customHeight="1" x14ac:dyDescent="0.2">
      <c r="A17" s="73" t="s">
        <v>76</v>
      </c>
      <c r="B17" s="74"/>
      <c r="C17" s="74"/>
      <c r="D17" s="74"/>
      <c r="E17" s="74"/>
      <c r="F17" s="417">
        <f>ADDRESS!I5</f>
        <v>59642884</v>
      </c>
      <c r="G17" s="417"/>
      <c r="H17" s="418"/>
      <c r="I17" s="409"/>
      <c r="J17" s="384"/>
      <c r="K17" s="391" t="s">
        <v>26</v>
      </c>
      <c r="L17" s="391"/>
      <c r="M17" s="392"/>
    </row>
    <row r="18" spans="1:13" ht="10.5" customHeight="1" thickBot="1" x14ac:dyDescent="0.25">
      <c r="A18" s="75"/>
      <c r="B18" s="76"/>
      <c r="C18" s="76"/>
      <c r="D18" s="76"/>
      <c r="E18" s="76"/>
      <c r="F18" s="76"/>
      <c r="G18" s="76"/>
      <c r="H18" s="77"/>
      <c r="I18" s="305" t="s">
        <v>25</v>
      </c>
      <c r="J18" s="306"/>
      <c r="K18" s="393"/>
      <c r="L18" s="393"/>
      <c r="M18" s="394"/>
    </row>
    <row r="19" spans="1:13" x14ac:dyDescent="0.2">
      <c r="A19" s="358" t="s">
        <v>27</v>
      </c>
      <c r="B19" s="359"/>
      <c r="C19" s="359"/>
      <c r="D19" s="359"/>
      <c r="E19" s="359"/>
      <c r="F19" s="359"/>
      <c r="G19" s="359"/>
      <c r="H19" s="359"/>
      <c r="I19" s="359"/>
      <c r="J19" s="359"/>
      <c r="K19" s="359"/>
      <c r="L19" s="359"/>
      <c r="M19" s="360"/>
    </row>
    <row r="20" spans="1:13" ht="12" customHeight="1" x14ac:dyDescent="0.2">
      <c r="A20" s="413" t="s">
        <v>23</v>
      </c>
      <c r="B20" s="414"/>
      <c r="C20" s="414"/>
      <c r="D20" s="414"/>
      <c r="E20" s="414" t="s">
        <v>28</v>
      </c>
      <c r="F20" s="414" t="s">
        <v>10</v>
      </c>
      <c r="G20" s="414"/>
      <c r="H20" s="407" t="s">
        <v>29</v>
      </c>
      <c r="I20" s="408"/>
      <c r="J20" s="401" t="s">
        <v>31</v>
      </c>
      <c r="K20" s="402"/>
      <c r="L20" s="402"/>
      <c r="M20" s="403"/>
    </row>
    <row r="21" spans="1:13" ht="9.75" customHeight="1" x14ac:dyDescent="0.2">
      <c r="A21" s="413"/>
      <c r="B21" s="414"/>
      <c r="C21" s="414"/>
      <c r="D21" s="414"/>
      <c r="E21" s="414"/>
      <c r="F21" s="414"/>
      <c r="G21" s="414"/>
      <c r="H21" s="441" t="s">
        <v>30</v>
      </c>
      <c r="I21" s="442"/>
      <c r="J21" s="404"/>
      <c r="K21" s="405"/>
      <c r="L21" s="405"/>
      <c r="M21" s="406"/>
    </row>
    <row r="22" spans="1:13" x14ac:dyDescent="0.2">
      <c r="A22" s="415" t="str">
        <f>VLOOKUP(B8,'Customer Order Info'!$A$3:$D$31,2,FALSE)</f>
        <v>0215-8880831-0578</v>
      </c>
      <c r="B22" s="198"/>
      <c r="C22" s="198"/>
      <c r="D22" s="285"/>
      <c r="E22" s="10">
        <f>VLOOKUP(A22,'Customer Order Info'!B3:D31,2,FALSE)</f>
        <v>83</v>
      </c>
      <c r="F22" s="198">
        <f>VLOOKUP(A22,'Customer Order Info'!B3:D31,3,FALSE)</f>
        <v>83</v>
      </c>
      <c r="G22" s="198"/>
      <c r="H22" s="10" t="s">
        <v>54</v>
      </c>
      <c r="I22" s="10" t="s">
        <v>55</v>
      </c>
      <c r="J22" s="198"/>
      <c r="K22" s="198"/>
      <c r="L22" s="198"/>
      <c r="M22" s="375"/>
    </row>
    <row r="23" spans="1:13" x14ac:dyDescent="0.2">
      <c r="A23" s="378"/>
      <c r="B23" s="379"/>
      <c r="C23" s="379"/>
      <c r="D23" s="380"/>
      <c r="E23" s="10"/>
      <c r="F23" s="198"/>
      <c r="G23" s="198"/>
      <c r="H23" s="10" t="s">
        <v>54</v>
      </c>
      <c r="I23" s="10" t="s">
        <v>55</v>
      </c>
      <c r="J23" s="198"/>
      <c r="K23" s="198"/>
      <c r="L23" s="198"/>
      <c r="M23" s="375"/>
    </row>
    <row r="24" spans="1:13" x14ac:dyDescent="0.2">
      <c r="A24" s="378"/>
      <c r="B24" s="379"/>
      <c r="C24" s="379"/>
      <c r="D24" s="380"/>
      <c r="E24" s="10"/>
      <c r="F24" s="198"/>
      <c r="G24" s="198"/>
      <c r="H24" s="10" t="s">
        <v>54</v>
      </c>
      <c r="I24" s="10" t="s">
        <v>55</v>
      </c>
      <c r="J24" s="198"/>
      <c r="K24" s="198"/>
      <c r="L24" s="198"/>
      <c r="M24" s="375"/>
    </row>
    <row r="25" spans="1:13" x14ac:dyDescent="0.2">
      <c r="A25" s="378"/>
      <c r="B25" s="379"/>
      <c r="C25" s="379"/>
      <c r="D25" s="380"/>
      <c r="E25" s="10"/>
      <c r="F25" s="198"/>
      <c r="G25" s="198"/>
      <c r="H25" s="10" t="s">
        <v>54</v>
      </c>
      <c r="I25" s="10" t="s">
        <v>55</v>
      </c>
      <c r="J25" s="198"/>
      <c r="K25" s="198"/>
      <c r="L25" s="198"/>
      <c r="M25" s="375"/>
    </row>
    <row r="26" spans="1:13" x14ac:dyDescent="0.2">
      <c r="A26" s="378"/>
      <c r="B26" s="379"/>
      <c r="C26" s="379"/>
      <c r="D26" s="380"/>
      <c r="E26" s="10"/>
      <c r="F26" s="198"/>
      <c r="G26" s="198"/>
      <c r="H26" s="10" t="s">
        <v>54</v>
      </c>
      <c r="I26" s="10" t="s">
        <v>55</v>
      </c>
      <c r="J26" s="198"/>
      <c r="K26" s="198"/>
      <c r="L26" s="198"/>
      <c r="M26" s="375"/>
    </row>
    <row r="27" spans="1:13" x14ac:dyDescent="0.2">
      <c r="A27" s="378"/>
      <c r="B27" s="379"/>
      <c r="C27" s="379"/>
      <c r="D27" s="380"/>
      <c r="E27" s="10"/>
      <c r="F27" s="198"/>
      <c r="G27" s="198"/>
      <c r="H27" s="10" t="s">
        <v>54</v>
      </c>
      <c r="I27" s="10" t="s">
        <v>55</v>
      </c>
      <c r="J27" s="198"/>
      <c r="K27" s="198"/>
      <c r="L27" s="198"/>
      <c r="M27" s="375"/>
    </row>
    <row r="28" spans="1:13" x14ac:dyDescent="0.2">
      <c r="A28" s="378"/>
      <c r="B28" s="379"/>
      <c r="C28" s="379"/>
      <c r="D28" s="380"/>
      <c r="E28" s="10"/>
      <c r="F28" s="198"/>
      <c r="G28" s="198"/>
      <c r="H28" s="10" t="s">
        <v>54</v>
      </c>
      <c r="I28" s="10" t="s">
        <v>55</v>
      </c>
      <c r="J28" s="198"/>
      <c r="K28" s="198"/>
      <c r="L28" s="198"/>
      <c r="M28" s="375"/>
    </row>
    <row r="29" spans="1:13" x14ac:dyDescent="0.2">
      <c r="A29" s="378"/>
      <c r="B29" s="379"/>
      <c r="C29" s="379"/>
      <c r="D29" s="380"/>
      <c r="E29" s="10"/>
      <c r="F29" s="198"/>
      <c r="G29" s="198"/>
      <c r="H29" s="10" t="s">
        <v>54</v>
      </c>
      <c r="I29" s="10" t="s">
        <v>55</v>
      </c>
      <c r="J29" s="198"/>
      <c r="K29" s="198"/>
      <c r="L29" s="198"/>
      <c r="M29" s="375"/>
    </row>
    <row r="30" spans="1:13" x14ac:dyDescent="0.2">
      <c r="A30" s="376" t="s">
        <v>22</v>
      </c>
      <c r="B30" s="377"/>
      <c r="C30" s="377"/>
      <c r="D30" s="377"/>
      <c r="E30" s="9">
        <f>SUM(E22:E29)</f>
        <v>83</v>
      </c>
      <c r="F30" s="364">
        <f>SUM(F22:G29)</f>
        <v>83</v>
      </c>
      <c r="G30" s="198"/>
      <c r="H30" s="381"/>
      <c r="I30" s="383"/>
      <c r="J30" s="381"/>
      <c r="K30" s="382"/>
      <c r="L30" s="382"/>
      <c r="M30" s="383"/>
    </row>
    <row r="31" spans="1:13" x14ac:dyDescent="0.2">
      <c r="A31" s="365" t="s">
        <v>21</v>
      </c>
      <c r="B31" s="366"/>
      <c r="C31" s="366"/>
      <c r="D31" s="366"/>
      <c r="E31" s="366"/>
      <c r="F31" s="366"/>
      <c r="G31" s="366"/>
      <c r="H31" s="366"/>
      <c r="I31" s="366"/>
      <c r="J31" s="366"/>
      <c r="K31" s="366"/>
      <c r="L31" s="366"/>
      <c r="M31" s="367"/>
    </row>
    <row r="32" spans="1:13" x14ac:dyDescent="0.2">
      <c r="A32" s="372" t="s">
        <v>6</v>
      </c>
      <c r="B32" s="370"/>
      <c r="C32" s="370" t="s">
        <v>9</v>
      </c>
      <c r="D32" s="370"/>
      <c r="E32" s="373" t="s">
        <v>10</v>
      </c>
      <c r="F32" s="374" t="s">
        <v>11</v>
      </c>
      <c r="G32" s="368" t="s">
        <v>12</v>
      </c>
      <c r="H32" s="368"/>
      <c r="I32" s="368"/>
      <c r="J32" s="368"/>
      <c r="K32" s="368"/>
      <c r="L32" s="370" t="s">
        <v>13</v>
      </c>
      <c r="M32" s="371"/>
    </row>
    <row r="33" spans="1:22" ht="24.75" customHeight="1" x14ac:dyDescent="0.2">
      <c r="A33" s="4" t="s">
        <v>7</v>
      </c>
      <c r="B33" s="1" t="s">
        <v>8</v>
      </c>
      <c r="C33" s="1" t="s">
        <v>7</v>
      </c>
      <c r="D33" s="1" t="s">
        <v>8</v>
      </c>
      <c r="E33" s="373"/>
      <c r="F33" s="374"/>
      <c r="G33" s="369" t="s">
        <v>53</v>
      </c>
      <c r="H33" s="369"/>
      <c r="I33" s="369"/>
      <c r="J33" s="369"/>
      <c r="K33" s="369"/>
      <c r="L33" s="2" t="s">
        <v>14</v>
      </c>
      <c r="M33" s="5" t="s">
        <v>15</v>
      </c>
    </row>
    <row r="34" spans="1:22" x14ac:dyDescent="0.2">
      <c r="A34" s="105">
        <f>E30</f>
        <v>83</v>
      </c>
      <c r="B34" s="10" t="s">
        <v>60</v>
      </c>
      <c r="C34" s="9">
        <f>F30</f>
        <v>83</v>
      </c>
      <c r="D34" s="104" t="s">
        <v>60</v>
      </c>
      <c r="E34" s="9">
        <f>F30</f>
        <v>83</v>
      </c>
      <c r="F34" s="10"/>
      <c r="G34" s="285" t="s">
        <v>77</v>
      </c>
      <c r="H34" s="343"/>
      <c r="I34" s="343"/>
      <c r="J34" s="343"/>
      <c r="K34" s="286"/>
      <c r="L34" s="106"/>
      <c r="M34" s="107"/>
    </row>
    <row r="35" spans="1:22" x14ac:dyDescent="0.2">
      <c r="A35" s="108"/>
      <c r="B35" s="10"/>
      <c r="C35" s="10"/>
      <c r="D35" s="10"/>
      <c r="E35" s="10"/>
      <c r="F35" s="106"/>
      <c r="G35" s="285"/>
      <c r="H35" s="343"/>
      <c r="I35" s="343"/>
      <c r="J35" s="343"/>
      <c r="K35" s="286"/>
      <c r="L35" s="106"/>
      <c r="M35" s="107"/>
    </row>
    <row r="36" spans="1:22" x14ac:dyDescent="0.2">
      <c r="A36" s="108"/>
      <c r="B36" s="10"/>
      <c r="C36" s="10"/>
      <c r="D36" s="10"/>
      <c r="E36" s="10"/>
      <c r="F36" s="106"/>
      <c r="G36" s="285"/>
      <c r="H36" s="343"/>
      <c r="I36" s="343"/>
      <c r="J36" s="343"/>
      <c r="K36" s="286"/>
      <c r="L36" s="106"/>
      <c r="M36" s="107"/>
    </row>
    <row r="37" spans="1:22" x14ac:dyDescent="0.2">
      <c r="A37" s="108"/>
      <c r="B37" s="10"/>
      <c r="C37" s="10"/>
      <c r="D37" s="10"/>
      <c r="E37" s="10"/>
      <c r="F37" s="106"/>
      <c r="G37" s="285"/>
      <c r="H37" s="343"/>
      <c r="I37" s="343"/>
      <c r="J37" s="343"/>
      <c r="K37" s="286"/>
      <c r="L37" s="106"/>
      <c r="M37" s="107"/>
      <c r="Q37" s="334"/>
      <c r="R37" s="334"/>
      <c r="S37" s="7"/>
      <c r="T37" s="311"/>
      <c r="U37" s="311"/>
      <c r="V37" s="311"/>
    </row>
    <row r="38" spans="1:22" x14ac:dyDescent="0.2">
      <c r="A38" s="108"/>
      <c r="B38" s="10"/>
      <c r="C38" s="10"/>
      <c r="D38" s="10"/>
      <c r="E38" s="10"/>
      <c r="F38" s="106"/>
      <c r="G38" s="285"/>
      <c r="H38" s="343"/>
      <c r="I38" s="343"/>
      <c r="J38" s="343"/>
      <c r="K38" s="286"/>
      <c r="L38" s="106"/>
      <c r="M38" s="109"/>
      <c r="Q38" s="334"/>
      <c r="R38" s="334"/>
      <c r="S38" s="7"/>
      <c r="T38" s="311"/>
      <c r="U38" s="311"/>
      <c r="V38" s="311"/>
    </row>
    <row r="39" spans="1:22" x14ac:dyDescent="0.2">
      <c r="A39" s="108"/>
      <c r="B39" s="10"/>
      <c r="C39" s="10"/>
      <c r="D39" s="10"/>
      <c r="E39" s="10"/>
      <c r="F39" s="106"/>
      <c r="G39" s="285"/>
      <c r="H39" s="343"/>
      <c r="I39" s="343"/>
      <c r="J39" s="343"/>
      <c r="K39" s="286"/>
      <c r="L39" s="106"/>
      <c r="M39" s="109"/>
      <c r="Q39" s="6"/>
      <c r="R39" s="6"/>
      <c r="S39" s="337"/>
      <c r="T39" s="311"/>
      <c r="U39" s="311"/>
      <c r="V39" s="311"/>
    </row>
    <row r="40" spans="1:22" x14ac:dyDescent="0.2">
      <c r="A40" s="108"/>
      <c r="B40" s="10"/>
      <c r="C40" s="10"/>
      <c r="D40" s="10"/>
      <c r="E40" s="10"/>
      <c r="F40" s="106"/>
      <c r="G40" s="285"/>
      <c r="H40" s="343"/>
      <c r="I40" s="343"/>
      <c r="J40" s="343"/>
      <c r="K40" s="286"/>
      <c r="L40" s="106"/>
      <c r="M40" s="107"/>
      <c r="Q40" s="6"/>
      <c r="R40" s="6"/>
      <c r="S40" s="337"/>
      <c r="T40" s="311"/>
      <c r="U40" s="311"/>
      <c r="V40" s="311"/>
    </row>
    <row r="41" spans="1:22" x14ac:dyDescent="0.2">
      <c r="A41" s="108"/>
      <c r="B41" s="10"/>
      <c r="C41" s="10"/>
      <c r="D41" s="10"/>
      <c r="E41" s="10"/>
      <c r="F41" s="106"/>
      <c r="G41" s="285"/>
      <c r="H41" s="343"/>
      <c r="I41" s="343"/>
      <c r="J41" s="343"/>
      <c r="K41" s="286"/>
      <c r="L41" s="106"/>
      <c r="M41" s="107"/>
    </row>
    <row r="42" spans="1:22" ht="13.5" thickBot="1" x14ac:dyDescent="0.25">
      <c r="A42" s="110">
        <f>SUM(A34:A41)</f>
        <v>83</v>
      </c>
      <c r="B42" s="111"/>
      <c r="C42" s="112">
        <f>SUM(C34:C41)</f>
        <v>83</v>
      </c>
      <c r="D42" s="111"/>
      <c r="E42" s="112">
        <f>SUM(E34:E41)</f>
        <v>83</v>
      </c>
      <c r="F42" s="113"/>
      <c r="G42" s="344" t="s">
        <v>22</v>
      </c>
      <c r="H42" s="345"/>
      <c r="I42" s="345"/>
      <c r="J42" s="345"/>
      <c r="K42" s="346"/>
      <c r="L42" s="113"/>
      <c r="M42" s="114"/>
    </row>
    <row r="43" spans="1:22" ht="9" customHeight="1" x14ac:dyDescent="0.2">
      <c r="A43" s="313" t="s">
        <v>32</v>
      </c>
      <c r="B43" s="314"/>
      <c r="C43" s="314"/>
      <c r="D43" s="314"/>
      <c r="E43" s="314"/>
      <c r="F43" s="314"/>
      <c r="G43" s="314"/>
      <c r="H43" s="315"/>
      <c r="I43" s="355" t="s">
        <v>35</v>
      </c>
      <c r="J43" s="356"/>
      <c r="K43" s="356"/>
      <c r="L43" s="356"/>
      <c r="M43" s="357"/>
    </row>
    <row r="44" spans="1:22" ht="9.75" customHeight="1" x14ac:dyDescent="0.2">
      <c r="A44" s="316"/>
      <c r="B44" s="317"/>
      <c r="C44" s="317"/>
      <c r="D44" s="317"/>
      <c r="E44" s="317"/>
      <c r="F44" s="317"/>
      <c r="G44" s="317"/>
      <c r="H44" s="318"/>
      <c r="I44" s="358"/>
      <c r="J44" s="359"/>
      <c r="K44" s="359"/>
      <c r="L44" s="359"/>
      <c r="M44" s="360"/>
    </row>
    <row r="45" spans="1:22" ht="9.75" customHeight="1" x14ac:dyDescent="0.2">
      <c r="A45" s="319" t="s">
        <v>33</v>
      </c>
      <c r="B45" s="320"/>
      <c r="C45" s="320"/>
      <c r="D45" s="320"/>
      <c r="E45" s="320"/>
      <c r="F45" s="320"/>
      <c r="G45" s="320"/>
      <c r="H45" s="321"/>
      <c r="I45" s="361" t="s">
        <v>36</v>
      </c>
      <c r="J45" s="362"/>
      <c r="K45" s="362"/>
      <c r="L45" s="362"/>
      <c r="M45" s="363"/>
    </row>
    <row r="46" spans="1:22" ht="6.75" customHeight="1" x14ac:dyDescent="0.2">
      <c r="A46" s="319" t="s">
        <v>34</v>
      </c>
      <c r="B46" s="320"/>
      <c r="C46" s="320"/>
      <c r="D46" s="320"/>
      <c r="E46" s="320"/>
      <c r="F46" s="320"/>
      <c r="G46" s="320"/>
      <c r="H46" s="321"/>
      <c r="I46" s="361"/>
      <c r="J46" s="362"/>
      <c r="K46" s="362"/>
      <c r="L46" s="362"/>
      <c r="M46" s="363"/>
    </row>
    <row r="47" spans="1:22" ht="12" customHeight="1" thickBot="1" x14ac:dyDescent="0.25">
      <c r="A47" s="322"/>
      <c r="B47" s="323"/>
      <c r="C47" s="323"/>
      <c r="D47" s="323"/>
      <c r="E47" s="323"/>
      <c r="F47" s="323"/>
      <c r="G47" s="323"/>
      <c r="H47" s="324"/>
      <c r="I47" s="308" t="s">
        <v>37</v>
      </c>
      <c r="J47" s="309"/>
      <c r="K47" s="309"/>
      <c r="L47" s="309"/>
      <c r="M47" s="310"/>
    </row>
    <row r="48" spans="1:22" ht="13.5" thickBot="1" x14ac:dyDescent="0.25">
      <c r="A48" s="329" t="s">
        <v>38</v>
      </c>
      <c r="B48" s="330"/>
      <c r="C48" s="330"/>
      <c r="D48" s="330"/>
      <c r="E48" s="330"/>
      <c r="F48" s="330"/>
      <c r="G48" s="330"/>
      <c r="H48" s="330"/>
      <c r="I48" s="330"/>
      <c r="J48" s="330"/>
      <c r="K48" s="330"/>
      <c r="L48" s="330"/>
      <c r="M48" s="338"/>
    </row>
    <row r="49" spans="1:13" ht="11.25" customHeight="1" x14ac:dyDescent="0.2">
      <c r="A49" s="313" t="s">
        <v>39</v>
      </c>
      <c r="B49" s="314"/>
      <c r="C49" s="314"/>
      <c r="D49" s="314"/>
      <c r="E49" s="314"/>
      <c r="F49" s="314"/>
      <c r="G49" s="314"/>
      <c r="H49" s="315"/>
      <c r="I49" s="347" t="s">
        <v>40</v>
      </c>
      <c r="J49" s="348"/>
      <c r="K49" s="348"/>
      <c r="L49" s="348"/>
      <c r="M49" s="349"/>
    </row>
    <row r="50" spans="1:13" x14ac:dyDescent="0.2">
      <c r="A50" s="316"/>
      <c r="B50" s="317"/>
      <c r="C50" s="317"/>
      <c r="D50" s="317"/>
      <c r="E50" s="317"/>
      <c r="F50" s="317"/>
      <c r="G50" s="317"/>
      <c r="H50" s="318"/>
      <c r="I50" s="350"/>
      <c r="J50" s="351"/>
      <c r="K50" s="351"/>
      <c r="L50" s="351"/>
      <c r="M50" s="352"/>
    </row>
    <row r="51" spans="1:13" ht="13.5" thickBot="1" x14ac:dyDescent="0.25">
      <c r="A51" s="353"/>
      <c r="B51" s="354"/>
      <c r="C51" s="354"/>
      <c r="D51" s="354"/>
      <c r="E51" s="317"/>
      <c r="F51" s="317"/>
      <c r="G51" s="317"/>
      <c r="H51" s="318"/>
      <c r="I51" s="325" t="s">
        <v>41</v>
      </c>
      <c r="J51" s="326"/>
      <c r="K51" s="327"/>
      <c r="L51" s="327"/>
      <c r="M51" s="328"/>
    </row>
    <row r="52" spans="1:13" x14ac:dyDescent="0.2">
      <c r="A52" s="329" t="s">
        <v>42</v>
      </c>
      <c r="B52" s="330"/>
      <c r="C52" s="330"/>
      <c r="D52" s="330"/>
      <c r="E52" s="115" t="s">
        <v>44</v>
      </c>
      <c r="F52" s="116"/>
      <c r="G52" s="335" t="s">
        <v>45</v>
      </c>
      <c r="H52" s="335"/>
      <c r="I52" s="335"/>
      <c r="J52" s="336"/>
      <c r="K52" s="330" t="s">
        <v>50</v>
      </c>
      <c r="L52" s="330"/>
      <c r="M52" s="338"/>
    </row>
    <row r="53" spans="1:13" ht="3.75" customHeight="1" x14ac:dyDescent="0.2">
      <c r="A53" s="331" t="s">
        <v>43</v>
      </c>
      <c r="B53" s="332"/>
      <c r="C53" s="332"/>
      <c r="D53" s="332"/>
      <c r="E53" s="98"/>
      <c r="J53" s="95"/>
      <c r="K53" s="339" t="s">
        <v>52</v>
      </c>
      <c r="L53" s="339"/>
      <c r="M53" s="340"/>
    </row>
    <row r="54" spans="1:13" ht="14.25" customHeight="1" x14ac:dyDescent="0.2">
      <c r="A54" s="331"/>
      <c r="B54" s="332"/>
      <c r="C54" s="332"/>
      <c r="D54" s="332"/>
      <c r="E54" s="333" t="s">
        <v>46</v>
      </c>
      <c r="F54" s="334"/>
      <c r="G54" s="7"/>
      <c r="H54" s="311" t="s">
        <v>46</v>
      </c>
      <c r="I54" s="311"/>
      <c r="J54" s="312"/>
      <c r="K54" s="339"/>
      <c r="L54" s="339"/>
      <c r="M54" s="340"/>
    </row>
    <row r="55" spans="1:13" ht="9" customHeight="1" x14ac:dyDescent="0.2">
      <c r="A55" s="331"/>
      <c r="B55" s="332"/>
      <c r="C55" s="332"/>
      <c r="D55" s="332"/>
      <c r="E55" s="333" t="s">
        <v>47</v>
      </c>
      <c r="F55" s="334"/>
      <c r="G55" s="334"/>
      <c r="H55" s="311" t="s">
        <v>48</v>
      </c>
      <c r="I55" s="311"/>
      <c r="J55" s="312"/>
      <c r="K55" s="339"/>
      <c r="L55" s="339"/>
      <c r="M55" s="340"/>
    </row>
    <row r="56" spans="1:13" ht="6" customHeight="1" x14ac:dyDescent="0.2">
      <c r="A56" s="98"/>
      <c r="D56" s="95"/>
      <c r="E56" s="333"/>
      <c r="F56" s="334"/>
      <c r="G56" s="334"/>
      <c r="H56" s="311"/>
      <c r="I56" s="311"/>
      <c r="J56" s="312"/>
      <c r="K56" s="341" t="s">
        <v>51</v>
      </c>
      <c r="L56" s="341"/>
      <c r="M56" s="342"/>
    </row>
    <row r="57" spans="1:13" ht="14.25" customHeight="1" x14ac:dyDescent="0.2">
      <c r="A57" s="98"/>
      <c r="D57" s="95"/>
      <c r="E57" s="333"/>
      <c r="F57" s="334"/>
      <c r="G57" s="7"/>
      <c r="H57" s="311" t="s">
        <v>49</v>
      </c>
      <c r="I57" s="311"/>
      <c r="J57" s="312"/>
      <c r="K57" s="117"/>
      <c r="L57" s="118"/>
      <c r="M57" s="119"/>
    </row>
    <row r="58" spans="1:13" ht="12.75" customHeight="1" thickBot="1" x14ac:dyDescent="0.25">
      <c r="A58" s="120"/>
      <c r="B58" s="422">
        <f>B1</f>
        <v>45877</v>
      </c>
      <c r="C58" s="422"/>
      <c r="D58" s="87"/>
      <c r="E58" s="305"/>
      <c r="F58" s="306"/>
      <c r="G58" s="306"/>
      <c r="H58" s="306"/>
      <c r="I58" s="306"/>
      <c r="J58" s="307"/>
      <c r="K58" s="121"/>
      <c r="L58" s="122"/>
      <c r="M58" s="123"/>
    </row>
    <row r="59" spans="1:13" ht="26.25" customHeight="1" x14ac:dyDescent="0.2">
      <c r="A59" s="3"/>
      <c r="B59" s="3"/>
      <c r="C59" s="3"/>
      <c r="D59" s="3"/>
      <c r="E59" s="6"/>
      <c r="F59" s="6"/>
      <c r="G59" s="6"/>
      <c r="H59" s="8"/>
      <c r="I59" s="8"/>
      <c r="J59" s="8"/>
    </row>
  </sheetData>
  <mergeCells count="110">
    <mergeCell ref="F17:H17"/>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F26:G26"/>
    <mergeCell ref="J23:M23"/>
    <mergeCell ref="J24:M24"/>
    <mergeCell ref="J25:M25"/>
    <mergeCell ref="J26:M26"/>
    <mergeCell ref="A28:D28"/>
    <mergeCell ref="J30:M30"/>
    <mergeCell ref="F23:G23"/>
    <mergeCell ref="F24:G24"/>
    <mergeCell ref="A23:D23"/>
    <mergeCell ref="G35:K35"/>
    <mergeCell ref="G36:K36"/>
    <mergeCell ref="F27:G27"/>
    <mergeCell ref="F28:G28"/>
    <mergeCell ref="F30:G30"/>
    <mergeCell ref="A31:M31"/>
    <mergeCell ref="G32:K32"/>
    <mergeCell ref="G33:K33"/>
    <mergeCell ref="L32:M32"/>
    <mergeCell ref="A32:B32"/>
    <mergeCell ref="C32:D32"/>
    <mergeCell ref="E32:E33"/>
    <mergeCell ref="F32:F33"/>
    <mergeCell ref="J27:M27"/>
    <mergeCell ref="A30:D30"/>
    <mergeCell ref="G34:K34"/>
    <mergeCell ref="T37:V37"/>
    <mergeCell ref="T38:V38"/>
    <mergeCell ref="T39:V40"/>
    <mergeCell ref="Q37:R37"/>
    <mergeCell ref="Q38:R38"/>
    <mergeCell ref="S39:S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E58:J58"/>
    <mergeCell ref="I47:M47"/>
    <mergeCell ref="H55:J56"/>
    <mergeCell ref="A43:H44"/>
    <mergeCell ref="A45:H45"/>
    <mergeCell ref="A46:H47"/>
    <mergeCell ref="I51:M51"/>
    <mergeCell ref="A52:D52"/>
    <mergeCell ref="A53:D55"/>
    <mergeCell ref="E57:F57"/>
    <mergeCell ref="H57:J57"/>
    <mergeCell ref="H54:J54"/>
    <mergeCell ref="E55:F56"/>
    <mergeCell ref="G55:G56"/>
    <mergeCell ref="G52:J52"/>
    <mergeCell ref="E54:F54"/>
  </mergeCells>
  <phoneticPr fontId="5" type="noConversion"/>
  <pageMargins left="0.25" right="0.26" top="0.52" bottom="0.56000000000000005" header="0.5" footer="0.5"/>
  <pageSetup orientation="portrait" r:id="rId1"/>
  <headerFooter alignWithMargins="0"/>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6EF17896-8669-4AD8-94BE-BA18AA09DA67}">
          <x14:formula1>
            <xm:f>ADDRESS!$A$2:$A$30</xm:f>
          </x14:formula1>
          <xm:sqref>B8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7E88-64F3-46D1-93E5-B41D536177D5}">
  <dimension ref="A1:I30"/>
  <sheetViews>
    <sheetView workbookViewId="0">
      <selection activeCell="H1" sqref="H1:I5"/>
    </sheetView>
  </sheetViews>
  <sheetFormatPr defaultRowHeight="12.75" x14ac:dyDescent="0.2"/>
  <cols>
    <col min="1" max="1" width="16.7109375" bestFit="1" customWidth="1"/>
    <col min="2" max="2" width="28.85546875" bestFit="1" customWidth="1"/>
    <col min="3" max="3" width="18.28515625" bestFit="1" customWidth="1"/>
    <col min="8" max="8" width="13.5703125" bestFit="1" customWidth="1"/>
    <col min="9" max="9" width="19.85546875" bestFit="1" customWidth="1"/>
  </cols>
  <sheetData>
    <row r="1" spans="1:9" x14ac:dyDescent="0.2">
      <c r="A1" s="52" t="s">
        <v>188</v>
      </c>
      <c r="B1" s="52" t="s">
        <v>189</v>
      </c>
      <c r="C1" s="52" t="s">
        <v>190</v>
      </c>
      <c r="D1" s="52" t="s">
        <v>191</v>
      </c>
      <c r="E1" s="52" t="s">
        <v>192</v>
      </c>
      <c r="H1" s="125" t="s">
        <v>226</v>
      </c>
      <c r="I1" s="125" t="s">
        <v>227</v>
      </c>
    </row>
    <row r="2" spans="1:9" x14ac:dyDescent="0.2">
      <c r="A2" t="s">
        <v>78</v>
      </c>
      <c r="B2" t="s">
        <v>79</v>
      </c>
      <c r="C2" t="s">
        <v>80</v>
      </c>
      <c r="D2" t="s">
        <v>81</v>
      </c>
      <c r="E2">
        <v>92336</v>
      </c>
      <c r="H2" s="125" t="s">
        <v>230</v>
      </c>
      <c r="I2" s="125" t="s">
        <v>231</v>
      </c>
    </row>
    <row r="3" spans="1:9" x14ac:dyDescent="0.2">
      <c r="A3" t="s">
        <v>82</v>
      </c>
      <c r="B3" t="s">
        <v>83</v>
      </c>
      <c r="C3" t="s">
        <v>84</v>
      </c>
      <c r="D3" t="s">
        <v>85</v>
      </c>
      <c r="E3">
        <v>81001</v>
      </c>
      <c r="H3" s="125" t="s">
        <v>228</v>
      </c>
      <c r="I3" s="125">
        <v>10285609</v>
      </c>
    </row>
    <row r="4" spans="1:9" x14ac:dyDescent="0.2">
      <c r="A4" t="s">
        <v>86</v>
      </c>
      <c r="B4" t="s">
        <v>87</v>
      </c>
      <c r="C4" t="s">
        <v>88</v>
      </c>
      <c r="D4" t="s">
        <v>89</v>
      </c>
      <c r="E4">
        <v>24477</v>
      </c>
      <c r="H4" s="125" t="s">
        <v>229</v>
      </c>
      <c r="I4" s="126">
        <v>523953410</v>
      </c>
    </row>
    <row r="5" spans="1:9" x14ac:dyDescent="0.2">
      <c r="A5" s="52" t="s">
        <v>90</v>
      </c>
      <c r="B5" t="s">
        <v>91</v>
      </c>
      <c r="C5" t="s">
        <v>92</v>
      </c>
      <c r="D5" t="s">
        <v>93</v>
      </c>
      <c r="E5">
        <v>55432</v>
      </c>
      <c r="H5" s="125" t="s">
        <v>236</v>
      </c>
      <c r="I5" s="127">
        <v>59642884</v>
      </c>
    </row>
    <row r="6" spans="1:9" x14ac:dyDescent="0.2">
      <c r="A6" t="s">
        <v>94</v>
      </c>
      <c r="B6" t="s">
        <v>95</v>
      </c>
      <c r="C6" t="s">
        <v>96</v>
      </c>
      <c r="D6" t="s">
        <v>81</v>
      </c>
      <c r="E6">
        <v>95776</v>
      </c>
    </row>
    <row r="7" spans="1:9" x14ac:dyDescent="0.2">
      <c r="A7" t="s">
        <v>97</v>
      </c>
      <c r="B7" t="s">
        <v>98</v>
      </c>
      <c r="C7" t="s">
        <v>99</v>
      </c>
      <c r="D7" t="s">
        <v>100</v>
      </c>
      <c r="E7">
        <v>31793</v>
      </c>
    </row>
    <row r="8" spans="1:9" x14ac:dyDescent="0.2">
      <c r="A8" t="s">
        <v>101</v>
      </c>
      <c r="B8" t="s">
        <v>102</v>
      </c>
      <c r="C8" t="s">
        <v>103</v>
      </c>
      <c r="D8" t="s">
        <v>104</v>
      </c>
      <c r="E8">
        <v>53066</v>
      </c>
    </row>
    <row r="9" spans="1:9" x14ac:dyDescent="0.2">
      <c r="A9" t="s">
        <v>105</v>
      </c>
      <c r="B9" t="s">
        <v>106</v>
      </c>
      <c r="C9" t="s">
        <v>107</v>
      </c>
      <c r="D9" t="s">
        <v>108</v>
      </c>
      <c r="E9">
        <v>97321</v>
      </c>
    </row>
    <row r="10" spans="1:9" x14ac:dyDescent="0.2">
      <c r="A10" t="s">
        <v>109</v>
      </c>
      <c r="B10" t="s">
        <v>110</v>
      </c>
      <c r="C10" t="s">
        <v>111</v>
      </c>
      <c r="D10" t="s">
        <v>112</v>
      </c>
      <c r="E10">
        <v>46231</v>
      </c>
    </row>
    <row r="11" spans="1:9" x14ac:dyDescent="0.2">
      <c r="A11" t="s">
        <v>113</v>
      </c>
      <c r="B11" t="s">
        <v>114</v>
      </c>
      <c r="C11" t="s">
        <v>115</v>
      </c>
      <c r="D11" t="s">
        <v>116</v>
      </c>
      <c r="E11">
        <v>75706</v>
      </c>
    </row>
    <row r="12" spans="1:9" x14ac:dyDescent="0.2">
      <c r="A12" t="s">
        <v>117</v>
      </c>
      <c r="B12" t="s">
        <v>118</v>
      </c>
      <c r="C12" t="s">
        <v>119</v>
      </c>
      <c r="D12" t="s">
        <v>120</v>
      </c>
      <c r="E12">
        <v>12831</v>
      </c>
    </row>
    <row r="13" spans="1:9" x14ac:dyDescent="0.2">
      <c r="A13" t="s">
        <v>121</v>
      </c>
      <c r="B13" t="s">
        <v>122</v>
      </c>
      <c r="C13" t="s">
        <v>123</v>
      </c>
      <c r="D13" t="s">
        <v>124</v>
      </c>
      <c r="E13">
        <v>35756</v>
      </c>
    </row>
    <row r="14" spans="1:9" x14ac:dyDescent="0.2">
      <c r="A14" t="s">
        <v>125</v>
      </c>
      <c r="B14" t="s">
        <v>126</v>
      </c>
      <c r="C14" t="s">
        <v>127</v>
      </c>
      <c r="D14" t="s">
        <v>128</v>
      </c>
      <c r="E14">
        <v>49053</v>
      </c>
    </row>
    <row r="15" spans="1:9" x14ac:dyDescent="0.2">
      <c r="A15" t="s">
        <v>129</v>
      </c>
      <c r="B15" t="s">
        <v>130</v>
      </c>
      <c r="C15" t="s">
        <v>131</v>
      </c>
      <c r="D15" t="s">
        <v>132</v>
      </c>
      <c r="E15">
        <v>85043</v>
      </c>
    </row>
    <row r="16" spans="1:9" x14ac:dyDescent="0.2">
      <c r="A16" t="s">
        <v>133</v>
      </c>
      <c r="B16" t="s">
        <v>134</v>
      </c>
      <c r="C16" t="s">
        <v>135</v>
      </c>
      <c r="D16" t="s">
        <v>136</v>
      </c>
      <c r="E16">
        <v>17202</v>
      </c>
    </row>
    <row r="17" spans="1:5" x14ac:dyDescent="0.2">
      <c r="A17" t="s">
        <v>137</v>
      </c>
      <c r="B17" t="s">
        <v>138</v>
      </c>
      <c r="C17" t="s">
        <v>139</v>
      </c>
      <c r="D17" t="s">
        <v>140</v>
      </c>
      <c r="E17">
        <v>50613</v>
      </c>
    </row>
    <row r="18" spans="1:5" x14ac:dyDescent="0.2">
      <c r="A18" t="s">
        <v>141</v>
      </c>
      <c r="B18" t="s">
        <v>142</v>
      </c>
      <c r="C18" t="s">
        <v>143</v>
      </c>
      <c r="D18" t="s">
        <v>81</v>
      </c>
      <c r="E18">
        <v>93263</v>
      </c>
    </row>
    <row r="19" spans="1:5" x14ac:dyDescent="0.2">
      <c r="A19" t="s">
        <v>144</v>
      </c>
      <c r="B19" t="s">
        <v>145</v>
      </c>
      <c r="C19" t="s">
        <v>146</v>
      </c>
      <c r="D19" t="s">
        <v>147</v>
      </c>
      <c r="E19">
        <v>29078</v>
      </c>
    </row>
    <row r="20" spans="1:5" x14ac:dyDescent="0.2">
      <c r="A20" t="s">
        <v>148</v>
      </c>
      <c r="B20" t="s">
        <v>149</v>
      </c>
      <c r="C20" t="s">
        <v>150</v>
      </c>
      <c r="D20" t="s">
        <v>116</v>
      </c>
      <c r="E20">
        <v>76065</v>
      </c>
    </row>
    <row r="21" spans="1:5" x14ac:dyDescent="0.2">
      <c r="A21" t="s">
        <v>151</v>
      </c>
      <c r="B21" t="s">
        <v>152</v>
      </c>
      <c r="C21" t="s">
        <v>153</v>
      </c>
      <c r="D21" t="s">
        <v>120</v>
      </c>
      <c r="E21">
        <v>12010</v>
      </c>
    </row>
    <row r="22" spans="1:5" x14ac:dyDescent="0.2">
      <c r="A22" t="s">
        <v>154</v>
      </c>
      <c r="B22" t="s">
        <v>155</v>
      </c>
      <c r="C22" t="s">
        <v>156</v>
      </c>
      <c r="D22" t="s">
        <v>157</v>
      </c>
      <c r="E22">
        <v>66609</v>
      </c>
    </row>
    <row r="23" spans="1:5" x14ac:dyDescent="0.2">
      <c r="A23" t="s">
        <v>158</v>
      </c>
      <c r="B23" t="s">
        <v>159</v>
      </c>
      <c r="C23" t="s">
        <v>160</v>
      </c>
      <c r="D23" t="s">
        <v>161</v>
      </c>
      <c r="E23">
        <v>43162</v>
      </c>
    </row>
    <row r="24" spans="1:5" x14ac:dyDescent="0.2">
      <c r="A24" t="s">
        <v>162</v>
      </c>
      <c r="B24" t="s">
        <v>163</v>
      </c>
      <c r="C24" t="s">
        <v>164</v>
      </c>
      <c r="D24" t="s">
        <v>81</v>
      </c>
      <c r="E24">
        <v>92376</v>
      </c>
    </row>
    <row r="25" spans="1:5" x14ac:dyDescent="0.2">
      <c r="A25" t="s">
        <v>165</v>
      </c>
      <c r="B25" t="s">
        <v>166</v>
      </c>
      <c r="C25" t="s">
        <v>167</v>
      </c>
      <c r="D25" t="s">
        <v>100</v>
      </c>
      <c r="E25">
        <v>31320</v>
      </c>
    </row>
    <row r="26" spans="1:5" x14ac:dyDescent="0.2">
      <c r="A26" t="s">
        <v>168</v>
      </c>
      <c r="B26" t="s">
        <v>169</v>
      </c>
      <c r="C26" t="s">
        <v>170</v>
      </c>
      <c r="D26" t="s">
        <v>171</v>
      </c>
      <c r="E26" t="s">
        <v>172</v>
      </c>
    </row>
    <row r="27" spans="1:5" x14ac:dyDescent="0.2">
      <c r="A27" t="s">
        <v>173</v>
      </c>
      <c r="B27" t="s">
        <v>174</v>
      </c>
      <c r="C27" t="s">
        <v>175</v>
      </c>
      <c r="D27" t="s">
        <v>81</v>
      </c>
      <c r="E27">
        <v>92518</v>
      </c>
    </row>
    <row r="28" spans="1:5" x14ac:dyDescent="0.2">
      <c r="A28" t="s">
        <v>176</v>
      </c>
      <c r="B28" t="s">
        <v>177</v>
      </c>
      <c r="C28" t="s">
        <v>178</v>
      </c>
      <c r="D28" t="s">
        <v>179</v>
      </c>
      <c r="E28" t="s">
        <v>180</v>
      </c>
    </row>
    <row r="29" spans="1:5" x14ac:dyDescent="0.2">
      <c r="A29" t="s">
        <v>181</v>
      </c>
      <c r="B29" t="s">
        <v>182</v>
      </c>
      <c r="C29" t="s">
        <v>183</v>
      </c>
      <c r="D29" t="s">
        <v>184</v>
      </c>
      <c r="E29">
        <v>60623</v>
      </c>
    </row>
    <row r="30" spans="1:5" x14ac:dyDescent="0.2">
      <c r="A30" t="s">
        <v>185</v>
      </c>
      <c r="B30" t="s">
        <v>186</v>
      </c>
      <c r="C30" t="s">
        <v>187</v>
      </c>
      <c r="D30" t="s">
        <v>100</v>
      </c>
      <c r="E30">
        <v>30228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92DB-4271-4A63-8630-0427F5F0CBED}">
  <dimension ref="A2:D32"/>
  <sheetViews>
    <sheetView workbookViewId="0">
      <selection activeCell="C3" sqref="C3:C10"/>
    </sheetView>
  </sheetViews>
  <sheetFormatPr defaultRowHeight="12.75" x14ac:dyDescent="0.2"/>
  <cols>
    <col min="1" max="1" width="16.7109375" bestFit="1" customWidth="1"/>
    <col min="2" max="2" width="17.42578125" bestFit="1" customWidth="1"/>
    <col min="3" max="3" width="21.140625" bestFit="1" customWidth="1"/>
    <col min="4" max="4" width="19.140625" bestFit="1" customWidth="1"/>
  </cols>
  <sheetData>
    <row r="2" spans="1:4" x14ac:dyDescent="0.2">
      <c r="B2" t="s">
        <v>194</v>
      </c>
      <c r="C2" t="s">
        <v>195</v>
      </c>
      <c r="D2" t="s">
        <v>196</v>
      </c>
    </row>
    <row r="3" spans="1:4" x14ac:dyDescent="0.2">
      <c r="A3" s="52" t="s">
        <v>90</v>
      </c>
      <c r="B3" t="s">
        <v>197</v>
      </c>
      <c r="C3">
        <v>40</v>
      </c>
      <c r="D3">
        <v>40</v>
      </c>
    </row>
    <row r="4" spans="1:4" x14ac:dyDescent="0.2">
      <c r="A4" t="s">
        <v>78</v>
      </c>
      <c r="B4" t="s">
        <v>198</v>
      </c>
      <c r="C4">
        <v>38</v>
      </c>
      <c r="D4">
        <v>38</v>
      </c>
    </row>
    <row r="5" spans="1:4" x14ac:dyDescent="0.2">
      <c r="A5" t="s">
        <v>82</v>
      </c>
      <c r="B5" t="s">
        <v>199</v>
      </c>
      <c r="C5">
        <v>59</v>
      </c>
      <c r="D5">
        <v>59</v>
      </c>
    </row>
    <row r="6" spans="1:4" x14ac:dyDescent="0.2">
      <c r="A6" t="s">
        <v>94</v>
      </c>
      <c r="B6" t="s">
        <v>200</v>
      </c>
      <c r="C6">
        <v>81</v>
      </c>
      <c r="D6">
        <v>81</v>
      </c>
    </row>
    <row r="7" spans="1:4" x14ac:dyDescent="0.2">
      <c r="A7" t="s">
        <v>97</v>
      </c>
      <c r="B7" t="s">
        <v>201</v>
      </c>
      <c r="C7">
        <v>70</v>
      </c>
      <c r="D7">
        <v>70</v>
      </c>
    </row>
    <row r="8" spans="1:4" x14ac:dyDescent="0.2">
      <c r="A8" t="s">
        <v>101</v>
      </c>
      <c r="B8" t="s">
        <v>202</v>
      </c>
      <c r="C8">
        <v>62</v>
      </c>
      <c r="D8">
        <v>62</v>
      </c>
    </row>
    <row r="9" spans="1:4" x14ac:dyDescent="0.2">
      <c r="A9" t="s">
        <v>105</v>
      </c>
      <c r="B9" t="s">
        <v>203</v>
      </c>
      <c r="C9">
        <v>66</v>
      </c>
      <c r="D9">
        <v>66</v>
      </c>
    </row>
    <row r="10" spans="1:4" x14ac:dyDescent="0.2">
      <c r="A10" t="s">
        <v>109</v>
      </c>
      <c r="B10" t="s">
        <v>204</v>
      </c>
      <c r="C10">
        <v>65</v>
      </c>
      <c r="D10">
        <v>65</v>
      </c>
    </row>
    <row r="11" spans="1:4" x14ac:dyDescent="0.2">
      <c r="A11" t="s">
        <v>86</v>
      </c>
      <c r="B11" t="s">
        <v>205</v>
      </c>
      <c r="C11">
        <v>61</v>
      </c>
      <c r="D11">
        <v>61</v>
      </c>
    </row>
    <row r="12" spans="1:4" x14ac:dyDescent="0.2">
      <c r="A12" t="s">
        <v>113</v>
      </c>
      <c r="B12" t="s">
        <v>206</v>
      </c>
      <c r="C12">
        <v>83</v>
      </c>
      <c r="D12">
        <v>83</v>
      </c>
    </row>
    <row r="13" spans="1:4" x14ac:dyDescent="0.2">
      <c r="A13" t="s">
        <v>117</v>
      </c>
      <c r="B13" t="s">
        <v>207</v>
      </c>
      <c r="C13">
        <v>70</v>
      </c>
      <c r="D13">
        <v>70</v>
      </c>
    </row>
    <row r="14" spans="1:4" x14ac:dyDescent="0.2">
      <c r="A14" t="s">
        <v>121</v>
      </c>
      <c r="B14" t="s">
        <v>208</v>
      </c>
      <c r="C14">
        <v>50</v>
      </c>
      <c r="D14">
        <v>50</v>
      </c>
    </row>
    <row r="15" spans="1:4" x14ac:dyDescent="0.2">
      <c r="A15" t="s">
        <v>125</v>
      </c>
      <c r="B15" t="s">
        <v>209</v>
      </c>
      <c r="C15">
        <v>70</v>
      </c>
      <c r="D15">
        <v>70</v>
      </c>
    </row>
    <row r="16" spans="1:4" x14ac:dyDescent="0.2">
      <c r="A16" t="s">
        <v>129</v>
      </c>
      <c r="B16" t="s">
        <v>210</v>
      </c>
      <c r="C16">
        <v>69</v>
      </c>
      <c r="D16">
        <v>69</v>
      </c>
    </row>
    <row r="17" spans="1:4" x14ac:dyDescent="0.2">
      <c r="A17" t="s">
        <v>133</v>
      </c>
      <c r="B17" t="s">
        <v>211</v>
      </c>
      <c r="C17">
        <v>54</v>
      </c>
      <c r="D17">
        <v>54</v>
      </c>
    </row>
    <row r="18" spans="1:4" x14ac:dyDescent="0.2">
      <c r="A18" t="s">
        <v>137</v>
      </c>
      <c r="B18" t="s">
        <v>212</v>
      </c>
      <c r="C18">
        <v>65</v>
      </c>
      <c r="D18">
        <v>65</v>
      </c>
    </row>
    <row r="19" spans="1:4" x14ac:dyDescent="0.2">
      <c r="A19" t="s">
        <v>141</v>
      </c>
      <c r="B19" t="s">
        <v>213</v>
      </c>
      <c r="C19">
        <v>65</v>
      </c>
      <c r="D19">
        <v>65</v>
      </c>
    </row>
    <row r="20" spans="1:4" x14ac:dyDescent="0.2">
      <c r="A20" t="s">
        <v>144</v>
      </c>
      <c r="B20" t="s">
        <v>214</v>
      </c>
      <c r="C20">
        <v>70</v>
      </c>
      <c r="D20">
        <v>70</v>
      </c>
    </row>
    <row r="21" spans="1:4" x14ac:dyDescent="0.2">
      <c r="A21" t="s">
        <v>148</v>
      </c>
      <c r="B21" t="s">
        <v>215</v>
      </c>
      <c r="C21">
        <v>55</v>
      </c>
      <c r="D21">
        <v>55</v>
      </c>
    </row>
    <row r="22" spans="1:4" x14ac:dyDescent="0.2">
      <c r="A22" t="s">
        <v>151</v>
      </c>
      <c r="B22" t="s">
        <v>216</v>
      </c>
      <c r="C22">
        <v>54</v>
      </c>
      <c r="D22">
        <v>54</v>
      </c>
    </row>
    <row r="23" spans="1:4" x14ac:dyDescent="0.2">
      <c r="A23" t="s">
        <v>154</v>
      </c>
      <c r="B23" t="s">
        <v>217</v>
      </c>
      <c r="C23">
        <v>76</v>
      </c>
      <c r="D23">
        <v>76</v>
      </c>
    </row>
    <row r="24" spans="1:4" x14ac:dyDescent="0.2">
      <c r="A24" t="s">
        <v>158</v>
      </c>
      <c r="B24" t="s">
        <v>218</v>
      </c>
      <c r="C24">
        <v>76</v>
      </c>
      <c r="D24">
        <v>76</v>
      </c>
    </row>
    <row r="25" spans="1:4" x14ac:dyDescent="0.2">
      <c r="A25" t="s">
        <v>162</v>
      </c>
      <c r="B25" t="s">
        <v>219</v>
      </c>
      <c r="C25">
        <v>65</v>
      </c>
      <c r="D25">
        <v>65</v>
      </c>
    </row>
    <row r="26" spans="1:4" x14ac:dyDescent="0.2">
      <c r="A26" t="s">
        <v>165</v>
      </c>
      <c r="B26" t="s">
        <v>220</v>
      </c>
      <c r="C26">
        <v>56</v>
      </c>
      <c r="D26">
        <v>56</v>
      </c>
    </row>
    <row r="27" spans="1:4" x14ac:dyDescent="0.2">
      <c r="A27" t="s">
        <v>168</v>
      </c>
      <c r="B27" t="s">
        <v>221</v>
      </c>
      <c r="C27">
        <v>83</v>
      </c>
      <c r="D27">
        <v>83</v>
      </c>
    </row>
    <row r="28" spans="1:4" x14ac:dyDescent="0.2">
      <c r="A28" t="s">
        <v>173</v>
      </c>
      <c r="B28" t="s">
        <v>222</v>
      </c>
      <c r="C28">
        <v>27</v>
      </c>
      <c r="D28">
        <v>27</v>
      </c>
    </row>
    <row r="29" spans="1:4" x14ac:dyDescent="0.2">
      <c r="A29" t="s">
        <v>176</v>
      </c>
      <c r="B29" t="s">
        <v>223</v>
      </c>
      <c r="C29">
        <v>16</v>
      </c>
      <c r="D29">
        <v>16</v>
      </c>
    </row>
    <row r="30" spans="1:4" x14ac:dyDescent="0.2">
      <c r="A30" t="s">
        <v>181</v>
      </c>
      <c r="B30" t="s">
        <v>224</v>
      </c>
      <c r="C30">
        <v>26</v>
      </c>
      <c r="D30">
        <v>26</v>
      </c>
    </row>
    <row r="31" spans="1:4" x14ac:dyDescent="0.2">
      <c r="A31" t="s">
        <v>185</v>
      </c>
      <c r="B31" t="s">
        <v>225</v>
      </c>
      <c r="C31">
        <v>16</v>
      </c>
      <c r="D31">
        <v>16</v>
      </c>
    </row>
    <row r="32" spans="1:4" x14ac:dyDescent="0.2">
      <c r="B32" s="52" t="s">
        <v>22</v>
      </c>
      <c r="C32">
        <f>SUM(C3:C31)</f>
        <v>1688</v>
      </c>
      <c r="D32">
        <f>SUM(D3:D31)</f>
        <v>1688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BOL</vt:lpstr>
      <vt:lpstr>Supplimental Master BOL</vt:lpstr>
      <vt:lpstr>Supplemental BOL</vt:lpstr>
      <vt:lpstr>ADDRESS</vt:lpstr>
      <vt:lpstr>Customer Order Info</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 12</cp:lastModifiedBy>
  <cp:lastPrinted>2024-09-18T18:02:50Z</cp:lastPrinted>
  <dcterms:created xsi:type="dcterms:W3CDTF">2009-10-05T14:28:38Z</dcterms:created>
  <dcterms:modified xsi:type="dcterms:W3CDTF">2026-07-28T14:22:24Z</dcterms:modified>
</cp:coreProperties>
</file>