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1bcdd7d0d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 plan" sheetId="1" r:id="R6a1bb1c30c0444f7"/>
    <x:sheet xmlns:r="http://schemas.openxmlformats.org/officeDocument/2006/relationships" name="Account view" sheetId="2" r:id="Rd2ab7ddb9d9b4c61"/>
    <x:sheet xmlns:r="http://schemas.openxmlformats.org/officeDocument/2006/relationships" name="Demand detail" sheetId="3" r:id="Rb43dc37395af4b53"/>
    <x:sheet xmlns:r="http://schemas.openxmlformats.org/officeDocument/2006/relationships" name="Supply inputs" sheetId="4" r:id="Ra2784f4a2f8c43c6"/>
    <x:sheet xmlns:r="http://schemas.openxmlformats.org/officeDocument/2006/relationships" name="Notes" sheetId="5" r:id="R7e1e215f92414809"/>
  </x:sheets>
</x:workbook>
</file>

<file path=xl/comments1.xml><?xml version="1.0" encoding="utf-8"?>
<x:comments xmlns:x="http://schemas.openxmlformats.org/spreadsheetml/2006/main">
  <x:authors>
    <x:author/>
  </x:authors>
  <x:commentList>
    <x:comment ref="A6" authorId="0">
      <x:text>
        <x:r>
          <x:t>Component: the raw material or part that must be available to build kits.</x:t>
        </x:r>
      </x:text>
    </x:comment>
    <x:comment ref="B6" authorId="0">
      <x:text>
        <x:r>
          <x:t>Month: the planning period for this row. This prototype groups demand and supply by month.</x:t>
        </x:r>
      </x:text>
    </x:comment>
    <x:comment ref="C6" authorId="0">
      <x:text>
        <x:r>
          <x:t>Opening stock: component quantity available at the start of this month. October starts with September’s projected ending balance.</x:t>
        </x:r>
      </x:text>
    </x:comment>
    <x:comment ref="D6" authorId="0">
      <x:text>
        <x:r>
          <x:t>PO due: quantity on existing purchase orders expected from suppliers during this month. PO means purchase order.</x:t>
        </x:r>
      </x:text>
    </x:comment>
    <x:comment ref="E6" authorId="0">
      <x:text>
        <x:r>
          <x:t>Component need: total parts required to build the kits shown on Demand detail for all accounts.</x:t>
        </x:r>
      </x:text>
    </x:comment>
    <x:comment ref="F6" authorId="0">
      <x:text>
        <x:r>
          <x:t>Balance before buy: opening stock plus existing purchase orders due, minus component need. A negative result means a shortage.</x:t>
        </x:r>
      </x:text>
    </x:comment>
    <x:comment ref="G6" authorId="0">
      <x:text>
        <x:r>
          <x:t>Shortage: how many component pieces are missing before placing a new purchase order; zero means current supply covers demand.</x:t>
        </x:r>
      </x:text>
    </x:comment>
    <x:comment ref="H6" authorId="0">
      <x:text>
        <x:r>
          <x:t>MOQ pcs: minimum order quantity, in pieces, required or assumed for this supplier.</x:t>
        </x:r>
      </x:text>
    </x:comment>
    <x:comment ref="I6" authorId="0">
      <x:text>
        <x:r>
          <x:t>Lot multiple: order increment required or assumed for this supplier. For example, a multiple of 25 permits 25, 50, 75, etc.</x:t>
        </x:r>
      </x:text>
    </x:comment>
    <x:comment ref="J6" authorId="0">
      <x:text>
        <x:r>
          <x:t>Suggested buy: proposed purchase quantity that covers the shortage while meeting the minimum and lot multiple. This is not an actual purchase order.</x:t>
        </x:r>
      </x:text>
    </x:comment>
    <x:comment ref="K6" authorId="0">
      <x:text>
        <x:r>
          <x:t>Ending if buy arrives: projected component balance after the suggested purchase arrives on time. If it does not arrive, this balance is too optimistic.</x:t>
        </x:r>
      </x:text>
    </x:comment>
    <x:comment ref="L6" authorId="0">
      <x:text>
        <x:r>
          <x:t>Vendor code: supplier identifier.</x:t>
        </x:r>
      </x:text>
    </x:comment>
    <x:comment ref="M6" authorId="0">
      <x:text>
        <x:r>
          <x:t>Vendor name: supplier from whom the component would be bought.</x:t>
        </x:r>
      </x:text>
    </x:comment>
    <x:comment ref="N6" authorId="0">
      <x:text>
        <x:r>
          <x:t>Lead days: assumed calendar days between placing the purchase order and receiving the component.</x:t>
        </x:r>
      </x:text>
    </x:comment>
    <x:comment ref="O6" authorId="0">
      <x:text>
        <x:r>
          <x:t>Need by: assumed month-end deadline for the component in this prototype. Real production dates may be earlier.</x:t>
        </x:r>
      </x:text>
    </x:comment>
    <x:comment ref="P6" authorId="0">
      <x:text>
        <x:r>
          <x:t>Order by: need-by date minus assumed vendor lead days. It is an estimate, not a confirmed supplier date.</x:t>
        </x:r>
      </x:text>
    </x:comment>
    <x:comment ref="Q6" authorId="0">
      <x:text>
        <x:r>
          <x:t>Action: COVERED means no new buy is suggested; ORDER means buy by the calculated date; EXPEDITE means that date has already passed.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2" authorId="0">
      <x:text>
        <x:r>
          <x:t>Select an account to inspect its component demand. The purchase plan still combines all accounts because they share stock.</x:t>
        </x:r>
      </x:text>
    </x:comment>
    <x:comment ref="A5" authorId="0">
      <x:text>
        <x:r>
          <x:t>Component: part needed to build finished kits.</x:t>
        </x:r>
      </x:text>
    </x:comment>
    <x:comment ref="B5" authorId="0">
      <x:text>
        <x:r>
          <x:t>Sep need: September component pieces needed for the selected account, after finished kits allocated to its demand.</x:t>
        </x:r>
      </x:text>
    </x:comment>
    <x:comment ref="C5" authorId="0">
      <x:text>
        <x:r>
          <x:t>Oct need: October component pieces needed for the selected account, after finished kits allocated to its demand.</x:t>
        </x:r>
      </x:text>
    </x:comment>
    <x:comment ref="D5" authorId="0">
      <x:text>
        <x:r>
          <x:t>Total need: September plus October component need for the selected account. This view does not allocate shared component stock.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5" authorId="0">
      <x:text>
        <x:r>
          <x:t>Account: customer or business account whose forecast and sales orders create demand.</x:t>
        </x:r>
      </x:text>
    </x:comment>
    <x:comment ref="B5" authorId="0">
      <x:text>
        <x:r>
          <x:t>Kit: finished product assembled from components.</x:t>
        </x:r>
      </x:text>
    </x:comment>
    <x:comment ref="C5" authorId="0">
      <x:text>
        <x:r>
          <x:t>Sep FC: September forecast, the expected demand for finished kits. FC means forecast; this is a sample input, not calculated here.</x:t>
        </x:r>
      </x:text>
    </x:comment>
    <x:comment ref="D5" authorId="0">
      <x:text>
        <x:r>
          <x:t>Sep shipped: finished kits already shipped to the customer in September, through the snapshot date.</x:t>
        </x:r>
      </x:text>
    </x:comment>
    <x:comment ref="E5" authorId="0">
      <x:text>
        <x:r>
          <x:t>Sep open SO: September customer sales-order quantity still open. SO means sales order; these are customer orders to us.</x:t>
        </x:r>
      </x:text>
    </x:comment>
    <x:comment ref="F5" authorId="0">
      <x:text>
        <x:r>
          <x:t>Sep remaining FC: September forecast minus kits already shipped, floored at zero. It is a simplified forecast countdown.</x:t>
        </x:r>
      </x:text>
    </x:comment>
    <x:comment ref="G5" authorId="0">
      <x:text>
        <x:r>
          <x:t>Sep kit demand: the greater of remaining September forecast and open September sales orders. This avoids adding the same expected demand twice.</x:t>
        </x:r>
      </x:text>
    </x:comment>
    <x:comment ref="H5" authorId="0">
      <x:text>
        <x:r>
          <x:t>Sep FG used: finished kits allocated on paper to meet September demand. FG means finished goods; allocation is not a physical shipment.</x:t>
        </x:r>
      </x:text>
    </x:comment>
    <x:comment ref="I5" authorId="0">
      <x:text>
        <x:r>
          <x:t>Sep kits to build: September kit demand minus finished kits allocated, floored at zero.</x:t>
        </x:r>
      </x:text>
    </x:comment>
    <x:comment ref="J5" authorId="0">
      <x:text>
        <x:r>
          <x:t>Oct FC: October forecast, the expected demand for finished kits. FC means forecast.</x:t>
        </x:r>
      </x:text>
    </x:comment>
    <x:comment ref="K5" authorId="0">
      <x:text>
        <x:r>
          <x:t>Oct shipped: finished kits already shipped against October demand; zero in this illustrative example.</x:t>
        </x:r>
      </x:text>
    </x:comment>
    <x:comment ref="L5" authorId="0">
      <x:text>
        <x:r>
          <x:t>Oct open SO: October customer sales-order quantity still open. SO means sales order.</x:t>
        </x:r>
      </x:text>
    </x:comment>
    <x:comment ref="M5" authorId="0">
      <x:text>
        <x:r>
          <x:t>Oct remaining FC: October forecast minus kits counted as shipped against October, floored at zero.</x:t>
        </x:r>
      </x:text>
    </x:comment>
    <x:comment ref="N5" authorId="0">
      <x:text>
        <x:r>
          <x:t>Oct kit demand: the greater of remaining October forecast and open October sales orders.</x:t>
        </x:r>
      </x:text>
    </x:comment>
    <x:comment ref="O5" authorId="0">
      <x:text>
        <x:r>
          <x:t>Oct FG used: finished kits allocated on paper to meet October demand; not a shipment.</x:t>
        </x:r>
      </x:text>
    </x:comment>
    <x:comment ref="P5" authorId="0">
      <x:text>
        <x:r>
          <x:t>Oct kits to build: October kit demand minus finished kits allocated, floored at zero.</x:t>
        </x:r>
      </x:text>
    </x:comment>
    <x:comment ref="A12" authorId="0">
      <x:text>
        <x:r>
          <x:t>Kit: the finished product whose component recipe appears in this table.</x:t>
        </x:r>
      </x:text>
    </x:comment>
    <x:comment ref="B12" authorId="0">
      <x:text>
        <x:r>
          <x:t>Component: a part used to make the kit.</x:t>
        </x:r>
      </x:text>
    </x:comment>
    <x:comment ref="C12" authorId="0">
      <x:text>
        <x:r>
          <x:t>Qty per kit: number of this component needed to build one kit.</x:t>
        </x:r>
      </x:text>
    </x:comment>
    <x:comment ref="A19" authorId="0">
      <x:text>
        <x:r>
          <x:t>Account: customer or business account whose kit demand drives this component requirement.</x:t>
        </x:r>
      </x:text>
    </x:comment>
    <x:comment ref="B19" authorId="0">
      <x:text>
        <x:r>
          <x:t>Kit: finished product that uses the component.</x:t>
        </x:r>
      </x:text>
    </x:comment>
    <x:comment ref="C19" authorId="0">
      <x:text>
        <x:r>
          <x:t>Component: part consumed when the kit is built.</x:t>
        </x:r>
      </x:text>
    </x:comment>
    <x:comment ref="D19" authorId="0">
      <x:text>
        <x:r>
          <x:t>Qty per kit: number of this component needed for one kit.</x:t>
        </x:r>
      </x:text>
    </x:comment>
    <x:comment ref="E19" authorId="0">
      <x:text>
        <x:r>
          <x:t>Sep kits to build: September finished kits that must be assembled after using available finished goods.</x:t>
        </x:r>
      </x:text>
    </x:comment>
    <x:comment ref="F19" authorId="0">
      <x:text>
        <x:r>
          <x:t>Sep component need: September kits to build multiplied by component quantity per kit.</x:t>
        </x:r>
      </x:text>
    </x:comment>
    <x:comment ref="G19" authorId="0">
      <x:text>
        <x:r>
          <x:t>Oct kits to build: October finished kits that must be assembled after using available finished goods.</x:t>
        </x:r>
      </x:text>
    </x:comment>
    <x:comment ref="H19" authorId="0">
      <x:text>
        <x:r>
          <x:t>Oct component need: October kits to build multiplied by component quantity per kit.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A5" authorId="0">
      <x:text>
        <x:r>
          <x:t>Component: raw material or part used in a kit.</x:t>
        </x:r>
      </x:text>
    </x:comment>
    <x:comment ref="B5" authorId="0">
      <x:text>
        <x:r>
          <x:t>Description: plain-language name of the component.</x:t>
        </x:r>
      </x:text>
    </x:comment>
    <x:comment ref="C5" authorId="0">
      <x:text>
        <x:r>
          <x:t>On hand: component pieces physically in stock at the September 27 snapshot, before future purchase-order receipts.</x:t>
        </x:r>
      </x:text>
    </x:comment>
    <x:comment ref="D5" authorId="0">
      <x:text>
        <x:r>
          <x:t>PO due Sep: pieces on existing supplier purchase orders expected to arrive in September. PO means purchase order.</x:t>
        </x:r>
      </x:text>
    </x:comment>
    <x:comment ref="E5" authorId="0">
      <x:text>
        <x:r>
          <x:t>PO due Oct: pieces on existing supplier purchase orders expected to arrive in October.</x:t>
        </x:r>
      </x:text>
    </x:comment>
    <x:comment ref="F5" authorId="0">
      <x:text>
        <x:r>
          <x:t>Vendor code: supplier identifier for this component.</x:t>
        </x:r>
      </x:text>
    </x:comment>
    <x:comment ref="G5" authorId="0">
      <x:text>
        <x:r>
          <x:t>Vendor name: supplier name for this component.</x:t>
        </x:r>
      </x:text>
    </x:comment>
    <x:comment ref="H5" authorId="0">
      <x:text>
        <x:r>
          <x:t>MOQ (pcs): minimum order quantity in pieces. This prototype treats it as a purchasing constraint.</x:t>
        </x:r>
      </x:text>
    </x:comment>
    <x:comment ref="I5" authorId="0">
      <x:text>
        <x:r>
          <x:t>Lot multiple: permitted order increment; a shortage of 110 with a multiple of 25 rounds to 125.</x:t>
        </x:r>
      </x:text>
    </x:comment>
    <x:comment ref="J5" authorId="0">
      <x:text>
        <x:r>
          <x:t>Lead days: illustrative calendar-day time from placing an order to receiving it.</x:t>
        </x:r>
      </x:text>
    </x:comment>
    <x:comment ref="A11" authorId="0">
      <x:text>
        <x:r>
          <x:t>Finished kit: assembled product already made from components.</x:t>
        </x:r>
      </x:text>
    </x:comment>
    <x:comment ref="B11" authorId="0">
      <x:text>
        <x:r>
          <x:t>FG on hand: finished goods currently in stock at the snapshot date. FG means finished goods.</x:t>
        </x:r>
      </x:text>
    </x:comment>
    <x:comment ref="C11" authorId="0">
      <x:text>
        <x:r>
          <x:t>FG allocated below: finished kits assigned to September and October demand on Demand detail. This sum is checked against finished kits on hand.</x:t>
        </x:r>
      </x:text>
    </x:comment>
    <x:comment ref="A15" authorId="0">
      <x:text>
        <x:r>
          <x:t>FG allocation check: warns if finished kits allocated to demand exceed finished kits actually on hand.</x:t>
        </x:r>
      </x:text>
    </x:comment>
  </x:commentList>
</x:comments>
</file>

<file path=xl/comments5.xml><?xml version="1.0" encoding="utf-8"?>
<x:comments xmlns:x="http://schemas.openxmlformats.org/spreadsheetml/2006/main">
  <x:authors>
    <x:author/>
  </x:authors>
  <x:commentList>
    <x:comment ref="A3" authorId="0">
      <x:text>
        <x:r>
          <x:t>Topic: planning assumption or design decision described in this row.</x:t>
        </x:r>
      </x:text>
    </x:comment>
    <x:comment ref="B3" authorId="0">
      <x:text>
        <x:r>
          <x:t>Prototype assumption or open decision: explains a rule used in this example or a question to confirm before building the live report.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m d, yyyy"/>
  </x:numFmts>
  <x:fonts count="5">
    <x:font>
      <x:sz val="11"/>
      <x:name val="Carlito"/>
    </x:font>
    <x:font>
      <x:b/>
      <x:sz val="18"/>
      <x:color rgb="FFFFFFFF"/>
      <x:name val="Aptos"/>
    </x:font>
    <x:font>
      <x:b/>
      <x:sz val="10"/>
      <x:color rgb="FFFFFFFF"/>
      <x:name val="Aptos"/>
    </x:font>
    <x:font>
      <x:sz val="10"/>
      <x:color rgb="FF243746"/>
      <x:name val="Aptos"/>
    </x:font>
    <x:font>
      <x:b/>
      <x:sz val="10"/>
      <x:color rgb="FF17324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87E8B"/>
      </x:patternFill>
    </x:fill>
    <x:fill>
      <x:patternFill patternType="solid">
        <x:fgColor rgb="FFFFF1D6"/>
      </x:patternFill>
    </x:fill>
    <x:fill>
      <x:patternFill patternType="solid">
        <x:fgColor rgb="FFE8F4F5"/>
      </x:patternFill>
    </x:fill>
  </x:fills>
  <x:borders count="10">
    <x:border/>
    <x:border>
      <x:right style="thin">
        <x:color rgb="FFE1E7EC"/>
      </x:right>
      <x:bottom style="thin">
        <x:color rgb="FFE1E7EC"/>
      </x:bottom>
    </x:border>
    <x:border>
      <x:left style="thin">
        <x:color rgb="FFE1E7EC"/>
      </x:left>
      <x:right style="thin">
        <x:color rgb="FFE1E7EC"/>
      </x:right>
      <x:bottom style="thin">
        <x:color rgb="FFE1E7EC"/>
      </x:bottom>
    </x:border>
    <x:border>
      <x:left style="thin">
        <x:color rgb="FFE1E7EC"/>
      </x:left>
      <x:bottom style="thin">
        <x:color rgb="FFE1E7EC"/>
      </x:bottom>
    </x:border>
    <x:border>
      <x:right style="thin">
        <x:color rgb="FFE1E7EC"/>
      </x:right>
      <x:top style="thin">
        <x:color rgb="FFE1E7EC"/>
      </x:top>
      <x:bottom style="thin">
        <x:color rgb="FFE1E7EC"/>
      </x:bottom>
    </x:border>
    <x:border>
      <x:left style="thin">
        <x:color rgb="FFE1E7EC"/>
      </x:left>
      <x:right style="thin">
        <x:color rgb="FFE1E7EC"/>
      </x:right>
      <x:top style="thin">
        <x:color rgb="FFE1E7EC"/>
      </x:top>
      <x:bottom style="thin">
        <x:color rgb="FFE1E7EC"/>
      </x:bottom>
    </x:border>
    <x:border>
      <x:left style="thin">
        <x:color rgb="FFE1E7EC"/>
      </x:left>
      <x:top style="thin">
        <x:color rgb="FFE1E7EC"/>
      </x:top>
      <x:bottom style="thin">
        <x:color rgb="FFE1E7EC"/>
      </x:bottom>
    </x:border>
    <x:border>
      <x:right style="thin">
        <x:color rgb="FFE1E7EC"/>
      </x:right>
      <x:top style="thin">
        <x:color rgb="FFE1E7EC"/>
      </x:top>
    </x:border>
    <x:border>
      <x:left style="thin">
        <x:color rgb="FFE1E7EC"/>
      </x:left>
      <x:right style="thin">
        <x:color rgb="FFE1E7EC"/>
      </x:right>
      <x:top style="thin">
        <x:color rgb="FFE1E7EC"/>
      </x:top>
    </x:border>
    <x:border>
      <x:left style="thin">
        <x:color rgb="FFE1E7EC"/>
      </x:left>
      <x:top style="thin">
        <x:color rgb="FFE1E7EC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200" fontId="3" fillId="0" borderId="0" xfId="0" applyNumberFormat="1" applyFont="1" applyFill="1" applyBorder="1"/>
    <x:xf numFmtId="200" fontId="3" fillId="0" borderId="2" xfId="0" applyNumberFormat="1" applyFont="1" applyFill="1" applyBorder="1"/>
    <x:xf numFmtId="200" fontId="3" fillId="0" borderId="5" xfId="0" applyNumberFormat="1" applyFont="1" applyFill="1" applyBorder="1"/>
    <x:xf numFmtId="200" fontId="3" fillId="0" borderId="8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3" fillId="4" borderId="8" xfId="0" applyNumberFormat="1" applyFont="1" applyFill="1" applyBorder="1"/>
    <x:xf numFmtId="0" fontId="3" fillId="5" borderId="2" xfId="0" applyNumberFormat="1" applyFont="1" applyFill="1" applyBorder="1"/>
    <x:xf numFmtId="0" fontId="3" fillId="5" borderId="5" xfId="0" applyNumberFormat="1" applyFont="1" applyFill="1" applyBorder="1"/>
    <x:xf numFmtId="0" fontId="3" fillId="5" borderId="8" xfId="0" applyNumberFormat="1" applyFont="1" applyFill="1" applyBorder="1"/>
    <x:xf numFmtId="0" fontId="4" fillId="0" borderId="1" xfId="0" applyNumberFormat="1" applyFont="1" applyFill="1" applyBorder="1"/>
    <x:xf numFmtId="0" fontId="4" fillId="0" borderId="4" xfId="0" applyNumberFormat="1" applyFont="1" applyFill="1" applyBorder="1"/>
    <x:xf numFmtId="0" fontId="4" fillId="0" borderId="7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e9d53f0ef46af" /><Relationship Type="http://schemas.openxmlformats.org/officeDocument/2006/relationships/theme" Target="/xl/theme/theme1.xml" Id="Rdec310c7bf9e4ba0" /><Relationship Type="http://schemas.openxmlformats.org/officeDocument/2006/relationships/sharedStrings" Target="/xl/sharedStrings.xml" Id="R082419708741445a" /><Relationship Type="http://schemas.openxmlformats.org/officeDocument/2006/relationships/worksheet" Target="/xl/worksheets/sheet1.xml" Id="R6a1bb1c30c0444f7" /><Relationship Type="http://schemas.openxmlformats.org/officeDocument/2006/relationships/worksheet" Target="/xl/worksheets/sheet2.xml" Id="Rd2ab7ddb9d9b4c61" /><Relationship Type="http://schemas.openxmlformats.org/officeDocument/2006/relationships/worksheet" Target="/xl/worksheets/sheet3.xml" Id="Rb43dc37395af4b53" /><Relationship Type="http://schemas.openxmlformats.org/officeDocument/2006/relationships/worksheet" Target="/xl/worksheets/sheet4.xml" Id="Ra2784f4a2f8c43c6" /><Relationship Type="http://schemas.openxmlformats.org/officeDocument/2006/relationships/worksheet" Target="/xl/worksheets/sheet5.xml" Id="R7e1e215f924148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0d14d35814a4c26" /><Relationship Type="http://schemas.openxmlformats.org/officeDocument/2006/relationships/vmlDrawing" Target="/xl/drawings/vmldrawing.vml" Id="Rdfb00c6d03db45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62dbfcf8fe6e4b4c" /><Relationship Type="http://schemas.openxmlformats.org/officeDocument/2006/relationships/vmlDrawing" Target="/xl/drawings/vmldrawing2.vml" Id="R459f036de87549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94e762d07e5a4590" /><Relationship Type="http://schemas.openxmlformats.org/officeDocument/2006/relationships/vmlDrawing" Target="/xl/drawings/vmldrawing3.vml" Id="R3dcf34c0136b44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40312f2982804cb0" /><Relationship Type="http://schemas.openxmlformats.org/officeDocument/2006/relationships/vmlDrawing" Target="/xl/drawings/vmldrawing4.vml" Id="Rd940969473f44f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12fbb0054adb48eb" /><Relationship Type="http://schemas.openxmlformats.org/officeDocument/2006/relationships/vmlDrawing" Target="/xl/drawings/vmldrawing5.vml" Id="Ra267368cc91d434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3" hidden="0" customWidth="1"/>
    <x:col min="5" max="5" width="18" hidden="0" customWidth="1"/>
    <x:col min="6" max="6" width="21" hidden="0" customWidth="1"/>
    <x:col min="7" max="7" width="15" hidden="0" customWidth="1"/>
    <x:col min="8" max="8" width="13" hidden="0" customWidth="1"/>
    <x:col min="9" max="9" width="15" hidden="0" customWidth="1"/>
    <x:col min="10" max="10" width="17" hidden="0" customWidth="1"/>
    <x:col min="11" max="11" width="16" hidden="0" customWidth="1"/>
    <x:col min="12" max="12" width="16" hidden="0" customWidth="1"/>
    <x:col min="13" max="13" width="24" hidden="0" customWidth="1"/>
    <x:col min="14" max="14" width="13" hidden="0" customWidth="1"/>
    <x:col min="15" max="15" width="18" hidden="0" customWidth="1"/>
    <x:col min="16" max="16" width="18" hidden="0" customWidth="1"/>
    <x:col min="17" max="17" width="17" hidden="0" customWidth="1"/>
  </x:cols>
  <x:sheetData>
    <x:row r="1" ht="34" customHeight="1">
      <x:c r="A1" s="2" t="str">
        <x:v>Planner shortage report — all accounts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tr">
        <x:v>As of</x:v>
      </x:c>
      <x:c r="B2" s="3" t="n">
        <x:f>'Supply inputs'!B2</x:f>
        <x:v>46292</x:v>
      </x:c>
      <x:c r="D2" t="str">
        <x:v>Decision basis</x:v>
      </x:c>
      <x:c r="E2" t="str">
        <x:v>All-account demand; shared stock is counted once</x:v>
      </x:c>
    </x:row>
    <x:row r="3">
      <x:c r="A3" t="str">
        <x:v>Interpretation</x:v>
      </x:c>
      <x:c r="B3" t="str">
        <x:v>Shortage is the unmet component quantity before a new buy. Suggested buy respects MOQ and lot multiple.</x:v>
      </x:c>
    </x:row>
    <x:row r="6" ht="32" customHeight="1">
      <x:c r="A6" s="7" t="str">
        <x:v>Component</x:v>
      </x:c>
      <x:c r="B6" s="7" t="str">
        <x:v>Month</x:v>
      </x:c>
      <x:c r="C6" s="7" t="str">
        <x:v>Opening stock</x:v>
      </x:c>
      <x:c r="D6" s="7" t="str">
        <x:v>PO due</x:v>
      </x:c>
      <x:c r="E6" s="7" t="str">
        <x:v>Component need</x:v>
      </x:c>
      <x:c r="F6" s="7" t="str">
        <x:v>Balance before buy</x:v>
      </x:c>
      <x:c r="G6" s="7" t="str">
        <x:v>Shortage</x:v>
      </x:c>
      <x:c r="H6" s="7" t="str">
        <x:v>MOQ pcs</x:v>
      </x:c>
      <x:c r="I6" s="7" t="str">
        <x:v>Lot multiple</x:v>
      </x:c>
      <x:c r="J6" s="7" t="str">
        <x:v>Suggested buy</x:v>
      </x:c>
      <x:c r="K6" s="7" t="str">
        <x:v>Ending if buy arrives</x:v>
      </x:c>
      <x:c r="L6" s="7" t="str">
        <x:v>Vendor code</x:v>
      </x:c>
      <x:c r="M6" s="7" t="str">
        <x:v>Vendor name</x:v>
      </x:c>
      <x:c r="N6" s="7" t="str">
        <x:v>Lead days</x:v>
      </x:c>
      <x:c r="O6" s="7" t="str">
        <x:v>Need by</x:v>
      </x:c>
      <x:c r="P6" s="7" t="str">
        <x:v>Order by</x:v>
      </x:c>
      <x:c r="Q6" s="7" t="str">
        <x:v>Action</x:v>
      </x:c>
    </x:row>
    <x:row r="7" ht="23" customHeight="1">
      <x:c r="A7" s="9" t="str">
        <x:v>COMP-1</x:v>
      </x:c>
      <x:c r="B7" s="10" t="str">
        <x:v>Sep</x:v>
      </x:c>
      <x:c r="C7" s="10" t="n">
        <x:f>'Supply inputs'!C6</x:f>
        <x:v>200</x:v>
      </x:c>
      <x:c r="D7" s="10" t="n">
        <x:f>'Supply inputs'!D6</x:f>
        <x:v>20</x:v>
      </x:c>
      <x:c r="E7" s="10" t="n">
        <x:f>SUMIFS('Demand detail'!$F$20:$F$25,'Demand detail'!$C$20:$C$25,A7)</x:f>
        <x:v>290</x:v>
      </x:c>
      <x:c r="F7" s="10" t="n">
        <x:f>C7+D7-E7</x:f>
        <x:v>-70</x:v>
      </x:c>
      <x:c r="G7" s="22" t="n">
        <x:f>MAX(0,-F7)</x:f>
        <x:v>70</x:v>
      </x:c>
      <x:c r="H7" s="10" t="n">
        <x:f>'Supply inputs'!H6</x:f>
        <x:v>200</x:v>
      </x:c>
      <x:c r="I7" s="10" t="n">
        <x:f>'Supply inputs'!I6</x:f>
        <x:v>50</x:v>
      </x:c>
      <x:c r="J7" s="25" t="n">
        <x:f>IF(G7=0,0,MAX(H7,ROUNDUP(G7/I7,0)*I7))</x:f>
        <x:v>200</x:v>
      </x:c>
      <x:c r="K7" s="10" t="n">
        <x:f>F7+J7</x:f>
        <x:v>130</x:v>
      </x:c>
      <x:c r="L7" s="10" t="str">
        <x:f>'Supply inputs'!F6</x:f>
        <x:v>V-A</x:v>
      </x:c>
      <x:c r="M7" s="10" t="str">
        <x:f>'Supply inputs'!G6</x:f>
        <x:v>Example Supplier A</x:v>
      </x:c>
      <x:c r="N7" s="10" t="n">
        <x:f>'Supply inputs'!J6</x:f>
        <x:v>14</x:v>
      </x:c>
      <x:c r="O7" s="19" t="n">
        <x:v>46295</x:v>
      </x:c>
      <x:c r="P7" s="19" t="n">
        <x:f>O7-N7</x:f>
        <x:v>46281</x:v>
      </x:c>
      <x:c r="Q7" s="11" t="str">
        <x:f>IF(J7=0,"COVERED",IF(P7&lt;$B$2,"EXPEDITE","ORDER"))</x:f>
        <x:v>EXPEDITE</x:v>
      </x:c>
    </x:row>
    <x:row r="8" ht="23" customHeight="1">
      <x:c r="A8" s="12" t="str">
        <x:v>COMP-1</x:v>
      </x:c>
      <x:c r="B8" s="13" t="str">
        <x:v>Oct</x:v>
      </x:c>
      <x:c r="C8" s="13" t="n">
        <x:f>K7</x:f>
        <x:v>130</x:v>
      </x:c>
      <x:c r="D8" s="13" t="n">
        <x:f>'Supply inputs'!E6</x:f>
        <x:v>250</x:v>
      </x:c>
      <x:c r="E8" s="13" t="n">
        <x:f>SUMIFS('Demand detail'!$H$20:$H$25,'Demand detail'!$C$20:$C$25,A8)</x:f>
        <x:v>410</x:v>
      </x:c>
      <x:c r="F8" s="13" t="n">
        <x:f>C8+D8-E8</x:f>
        <x:v>-30</x:v>
      </x:c>
      <x:c r="G8" s="23" t="n">
        <x:f>MAX(0,-F8)</x:f>
        <x:v>30</x:v>
      </x:c>
      <x:c r="H8" s="13" t="n">
        <x:f>'Supply inputs'!H6</x:f>
        <x:v>200</x:v>
      </x:c>
      <x:c r="I8" s="13" t="n">
        <x:f>'Supply inputs'!I6</x:f>
        <x:v>50</x:v>
      </x:c>
      <x:c r="J8" s="26" t="n">
        <x:f>IF(G8=0,0,MAX(H8,ROUNDUP(G8/I8,0)*I8))</x:f>
        <x:v>200</x:v>
      </x:c>
      <x:c r="K8" s="13" t="n">
        <x:f>F8+J8</x:f>
        <x:v>170</x:v>
      </x:c>
      <x:c r="L8" s="13" t="str">
        <x:f>'Supply inputs'!F6</x:f>
        <x:v>V-A</x:v>
      </x:c>
      <x:c r="M8" s="13" t="str">
        <x:f>'Supply inputs'!G6</x:f>
        <x:v>Example Supplier A</x:v>
      </x:c>
      <x:c r="N8" s="13" t="n">
        <x:f>'Supply inputs'!J6</x:f>
        <x:v>14</x:v>
      </x:c>
      <x:c r="O8" s="20" t="n">
        <x:v>46326</x:v>
      </x:c>
      <x:c r="P8" s="20" t="n">
        <x:f>O8-N8</x:f>
        <x:v>46312</x:v>
      </x:c>
      <x:c r="Q8" s="14" t="str">
        <x:f>IF(J8=0,"COVERED",IF(P8&lt;$B$2,"EXPEDITE","ORDER"))</x:f>
        <x:v>ORDER</x:v>
      </x:c>
    </x:row>
    <x:row r="9" ht="23" customHeight="1">
      <x:c r="A9" s="12" t="str">
        <x:v>COMP-2</x:v>
      </x:c>
      <x:c r="B9" s="13" t="str">
        <x:v>Sep</x:v>
      </x:c>
      <x:c r="C9" s="13" t="n">
        <x:f>'Supply inputs'!C7</x:f>
        <x:v>100</x:v>
      </x:c>
      <x:c r="D9" s="13" t="n">
        <x:f>'Supply inputs'!D7</x:f>
        <x:v>30</x:v>
      </x:c>
      <x:c r="E9" s="13" t="n">
        <x:f>SUMIFS('Demand detail'!$F$20:$F$25,'Demand detail'!$C$20:$C$25,A9)</x:f>
        <x:v>90</x:v>
      </x:c>
      <x:c r="F9" s="13" t="n">
        <x:f>C9+D9-E9</x:f>
        <x:v>40</x:v>
      </x:c>
      <x:c r="G9" s="23" t="n">
        <x:f>MAX(0,-F9)</x:f>
        <x:v>0</x:v>
      </x:c>
      <x:c r="H9" s="13" t="n">
        <x:f>'Supply inputs'!H7</x:f>
        <x:v>100</x:v>
      </x:c>
      <x:c r="I9" s="13" t="n">
        <x:f>'Supply inputs'!I7</x:f>
        <x:v>25</x:v>
      </x:c>
      <x:c r="J9" s="26" t="n">
        <x:f>IF(G9=0,0,MAX(H9,ROUNDUP(G9/I9,0)*I9))</x:f>
        <x:v>0</x:v>
      </x:c>
      <x:c r="K9" s="13" t="n">
        <x:f>F9+J9</x:f>
        <x:v>40</x:v>
      </x:c>
      <x:c r="L9" s="13" t="str">
        <x:f>'Supply inputs'!F7</x:f>
        <x:v>V-B</x:v>
      </x:c>
      <x:c r="M9" s="13" t="str">
        <x:f>'Supply inputs'!G7</x:f>
        <x:v>Example Supplier B</x:v>
      </x:c>
      <x:c r="N9" s="13" t="n">
        <x:f>'Supply inputs'!J7</x:f>
        <x:v>7</x:v>
      </x:c>
      <x:c r="O9" s="20" t="n">
        <x:v>46295</x:v>
      </x:c>
      <x:c r="P9" s="20" t="n">
        <x:f>O9-N9</x:f>
        <x:v>46288</x:v>
      </x:c>
      <x:c r="Q9" s="14" t="str">
        <x:f>IF(J9=0,"COVERED",IF(P9&lt;$B$2,"EXPEDITE","ORDER"))</x:f>
        <x:v>COVERED</x:v>
      </x:c>
    </x:row>
    <x:row r="10" ht="23" customHeight="1">
      <x:c r="A10" s="12" t="str">
        <x:v>COMP-2</x:v>
      </x:c>
      <x:c r="B10" s="13" t="str">
        <x:v>Oct</x:v>
      </x:c>
      <x:c r="C10" s="13" t="n">
        <x:f>K9</x:f>
        <x:v>40</x:v>
      </x:c>
      <x:c r="D10" s="13" t="n">
        <x:f>'Supply inputs'!E7</x:f>
        <x:v>0</x:v>
      </x:c>
      <x:c r="E10" s="13" t="n">
        <x:f>SUMIFS('Demand detail'!$H$20:$H$25,'Demand detail'!$C$20:$C$25,A10)</x:f>
        <x:v>150</x:v>
      </x:c>
      <x:c r="F10" s="13" t="n">
        <x:f>C10+D10-E10</x:f>
        <x:v>-110</x:v>
      </x:c>
      <x:c r="G10" s="23" t="n">
        <x:f>MAX(0,-F10)</x:f>
        <x:v>110</x:v>
      </x:c>
      <x:c r="H10" s="13" t="n">
        <x:f>'Supply inputs'!H7</x:f>
        <x:v>100</x:v>
      </x:c>
      <x:c r="I10" s="13" t="n">
        <x:f>'Supply inputs'!I7</x:f>
        <x:v>25</x:v>
      </x:c>
      <x:c r="J10" s="26" t="n">
        <x:f>IF(G10=0,0,MAX(H10,ROUNDUP(G10/I10,0)*I10))</x:f>
        <x:v>125</x:v>
      </x:c>
      <x:c r="K10" s="13" t="n">
        <x:f>F10+J10</x:f>
        <x:v>15</x:v>
      </x:c>
      <x:c r="L10" s="13" t="str">
        <x:f>'Supply inputs'!F7</x:f>
        <x:v>V-B</x:v>
      </x:c>
      <x:c r="M10" s="13" t="str">
        <x:f>'Supply inputs'!G7</x:f>
        <x:v>Example Supplier B</x:v>
      </x:c>
      <x:c r="N10" s="13" t="n">
        <x:f>'Supply inputs'!J7</x:f>
        <x:v>7</x:v>
      </x:c>
      <x:c r="O10" s="20" t="n">
        <x:v>46326</x:v>
      </x:c>
      <x:c r="P10" s="20" t="n">
        <x:f>O10-N10</x:f>
        <x:v>46319</x:v>
      </x:c>
      <x:c r="Q10" s="14" t="str">
        <x:f>IF(J10=0,"COVERED",IF(P10&lt;$B$2,"EXPEDITE","ORDER"))</x:f>
        <x:v>ORDER</x:v>
      </x:c>
    </x:row>
    <x:row r="11" ht="23" customHeight="1">
      <x:c r="A11" s="12" t="str">
        <x:v>COMP-3</x:v>
      </x:c>
      <x:c r="B11" s="13" t="str">
        <x:v>Sep</x:v>
      </x:c>
      <x:c r="C11" s="13" t="n">
        <x:f>'Supply inputs'!C8</x:f>
        <x:v>150</x:v>
      </x:c>
      <x:c r="D11" s="13" t="n">
        <x:f>'Supply inputs'!D8</x:f>
        <x:v>40</x:v>
      </x:c>
      <x:c r="E11" s="13" t="n">
        <x:f>SUMIFS('Demand detail'!$F$20:$F$25,'Demand detail'!$C$20:$C$25,A11)</x:f>
        <x:v>330</x:v>
      </x:c>
      <x:c r="F11" s="13" t="n">
        <x:f>C11+D11-E11</x:f>
        <x:v>-140</x:v>
      </x:c>
      <x:c r="G11" s="23" t="n">
        <x:f>MAX(0,-F11)</x:f>
        <x:v>140</x:v>
      </x:c>
      <x:c r="H11" s="13" t="n">
        <x:f>'Supply inputs'!H8</x:f>
        <x:v>50</x:v>
      </x:c>
      <x:c r="I11" s="13" t="n">
        <x:f>'Supply inputs'!I8</x:f>
        <x:v>25</x:v>
      </x:c>
      <x:c r="J11" s="26" t="n">
        <x:f>IF(G11=0,0,MAX(H11,ROUNDUP(G11/I11,0)*I11))</x:f>
        <x:v>150</x:v>
      </x:c>
      <x:c r="K11" s="13" t="n">
        <x:f>F11+J11</x:f>
        <x:v>10</x:v>
      </x:c>
      <x:c r="L11" s="13" t="str">
        <x:f>'Supply inputs'!F8</x:f>
        <x:v>V-C</x:v>
      </x:c>
      <x:c r="M11" s="13" t="str">
        <x:f>'Supply inputs'!G8</x:f>
        <x:v>Example Supplier C</x:v>
      </x:c>
      <x:c r="N11" s="13" t="n">
        <x:f>'Supply inputs'!J8</x:f>
        <x:v>21</x:v>
      </x:c>
      <x:c r="O11" s="20" t="n">
        <x:v>46295</x:v>
      </x:c>
      <x:c r="P11" s="20" t="n">
        <x:f>O11-N11</x:f>
        <x:v>46274</x:v>
      </x:c>
      <x:c r="Q11" s="14" t="str">
        <x:f>IF(J11=0,"COVERED",IF(P11&lt;$B$2,"EXPEDITE","ORDER"))</x:f>
        <x:v>EXPEDITE</x:v>
      </x:c>
    </x:row>
    <x:row r="12" ht="23" customHeight="1">
      <x:c r="A12" s="15" t="str">
        <x:v>COMP-3</x:v>
      </x:c>
      <x:c r="B12" s="16" t="str">
        <x:v>Oct</x:v>
      </x:c>
      <x:c r="C12" s="16" t="n">
        <x:f>K11</x:f>
        <x:v>10</x:v>
      </x:c>
      <x:c r="D12" s="16" t="n">
        <x:f>'Supply inputs'!E8</x:f>
        <x:v>100</x:v>
      </x:c>
      <x:c r="E12" s="16" t="n">
        <x:f>SUMIFS('Demand detail'!$H$20:$H$25,'Demand detail'!$C$20:$C$25,A12)</x:f>
        <x:v>330</x:v>
      </x:c>
      <x:c r="F12" s="16" t="n">
        <x:f>C12+D12-E12</x:f>
        <x:v>-220</x:v>
      </x:c>
      <x:c r="G12" s="24" t="n">
        <x:f>MAX(0,-F12)</x:f>
        <x:v>220</x:v>
      </x:c>
      <x:c r="H12" s="16" t="n">
        <x:f>'Supply inputs'!H8</x:f>
        <x:v>50</x:v>
      </x:c>
      <x:c r="I12" s="16" t="n">
        <x:f>'Supply inputs'!I8</x:f>
        <x:v>25</x:v>
      </x:c>
      <x:c r="J12" s="27" t="n">
        <x:f>IF(G12=0,0,MAX(H12,ROUNDUP(G12/I12,0)*I12))</x:f>
        <x:v>225</x:v>
      </x:c>
      <x:c r="K12" s="16" t="n">
        <x:f>F12+J12</x:f>
        <x:v>5</x:v>
      </x:c>
      <x:c r="L12" s="16" t="str">
        <x:f>'Supply inputs'!F8</x:f>
        <x:v>V-C</x:v>
      </x:c>
      <x:c r="M12" s="16" t="str">
        <x:f>'Supply inputs'!G8</x:f>
        <x:v>Example Supplier C</x:v>
      </x:c>
      <x:c r="N12" s="16" t="n">
        <x:f>'Supply inputs'!J8</x:f>
        <x:v>21</x:v>
      </x:c>
      <x:c r="O12" s="21" t="n">
        <x:v>46326</x:v>
      </x:c>
      <x:c r="P12" s="21" t="n">
        <x:f>O12-N12</x:f>
        <x:v>46305</x:v>
      </x:c>
      <x:c r="Q12" s="17" t="str">
        <x:f>IF(J12=0,"COVERED",IF(P12&lt;$B$2,"EXPEDITE","ORDER"))</x:f>
        <x:v>ORDER</x:v>
      </x:c>
    </x:row>
    <x:row r="15">
      <x:c r="A15" t="str">
        <x:v>Review notes</x:v>
      </x:c>
    </x:row>
    <x:row r="16">
      <x:c r="A16" t="str">
        <x:v>Monthly buckets do not show shortages within a month. PO arrival dates and vendor lead time must be verified in Acumatica.</x:v>
      </x:c>
    </x:row>
    <x:row r="17">
      <x:c r="A17" t="str">
        <x:v>September actions marked EXPEDITE require confirmed arrival; October balances assume all suggested buys arrive on time.</x:v>
      </x:c>
    </x:row>
  </x:sheetData>
  <x:mergeCells>
    <x:mergeCell ref="A1:Q1"/>
  </x:mergeCells>
  <x:pageMargins left="0.7" right="0.7" top="0.75" bottom="0.75" header="0.3" footer="0.3"/>
  <x:legacyDrawing xmlns:r="http://schemas.openxmlformats.org/officeDocument/2006/relationships" r:id="Rdfb00c6d03db458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4" customHeight="1">
      <x:c r="A1" s="2" t="str">
        <x:v>Account demand view</x:v>
      </x:c>
      <x:c r="B1" s="2"/>
      <x:c r="C1" s="2"/>
      <x:c r="D1" s="2"/>
    </x:row>
    <x:row r="2">
      <x:c r="A2" t="str">
        <x:v>Select account</x:v>
      </x:c>
      <x:c r="B2" t="str">
        <x:v>All</x:v>
      </x:c>
    </x:row>
    <x:row r="3">
      <x:c r="A3" t="str">
        <x:v>Use this view to inspect demand. The purchase decision remains on the all-account plan because stock is shared.</x:v>
      </x:c>
    </x:row>
    <x:row r="5" ht="32" customHeight="1">
      <x:c r="A5" s="7" t="str">
        <x:v>Component</x:v>
      </x:c>
      <x:c r="B5" s="7" t="str">
        <x:v>Sep need</x:v>
      </x:c>
      <x:c r="C5" s="7" t="str">
        <x:v>Oct need</x:v>
      </x:c>
      <x:c r="D5" s="7" t="str">
        <x:v>Total need</x:v>
      </x:c>
    </x:row>
    <x:row r="6" ht="23" customHeight="1">
      <x:c r="A6" s="9" t="str">
        <x:f>'Supply inputs'!A6</x:f>
        <x:v>COMP-1</x:v>
      </x:c>
      <x:c r="B6" s="10" t="n">
        <x:f>IF($B$2="All",SUMIFS('Demand detail'!$F$20:$F$25,'Demand detail'!$C$20:$C$25,$A6),SUMIFS('Demand detail'!$F$20:$F$25,'Demand detail'!$C$20:$C$25,$A6,'Demand detail'!$A$20:$A$25,$B$2))</x:f>
        <x:v>290</x:v>
      </x:c>
      <x:c r="C6" s="10" t="n">
        <x:f>IF($B$2="All",SUMIFS('Demand detail'!$H$20:$H$25,'Demand detail'!$C$20:$C$25,$A6),SUMIFS('Demand detail'!$H$20:$H$25,'Demand detail'!$C$20:$C$25,$A6,'Demand detail'!$A$20:$A$25,$B$2))</x:f>
        <x:v>410</x:v>
      </x:c>
      <x:c r="D6" s="11" t="n">
        <x:f>B6+C6</x:f>
        <x:v>700</x:v>
      </x:c>
    </x:row>
    <x:row r="7" ht="23" customHeight="1">
      <x:c r="A7" s="12" t="str">
        <x:f>'Supply inputs'!A7</x:f>
        <x:v>COMP-2</x:v>
      </x:c>
      <x:c r="B7" s="13" t="n">
        <x:f>IF($B$2="All",SUMIFS('Demand detail'!$F$20:$F$25,'Demand detail'!$C$20:$C$25,$A7),SUMIFS('Demand detail'!$F$20:$F$25,'Demand detail'!$C$20:$C$25,$A7,'Demand detail'!$A$20:$A$25,$B$2))</x:f>
        <x:v>90</x:v>
      </x:c>
      <x:c r="C7" s="13" t="n">
        <x:f>IF($B$2="All",SUMIFS('Demand detail'!$H$20:$H$25,'Demand detail'!$C$20:$C$25,$A7),SUMIFS('Demand detail'!$H$20:$H$25,'Demand detail'!$C$20:$C$25,$A7,'Demand detail'!$A$20:$A$25,$B$2))</x:f>
        <x:v>150</x:v>
      </x:c>
      <x:c r="D7" s="14" t="n">
        <x:f>B7+C7</x:f>
        <x:v>240</x:v>
      </x:c>
    </x:row>
    <x:row r="8" ht="23" customHeight="1">
      <x:c r="A8" s="15" t="str">
        <x:f>'Supply inputs'!A8</x:f>
        <x:v>COMP-3</x:v>
      </x:c>
      <x:c r="B8" s="16" t="n">
        <x:f>IF($B$2="All",SUMIFS('Demand detail'!$F$20:$F$25,'Demand detail'!$C$20:$C$25,$A8),SUMIFS('Demand detail'!$F$20:$F$25,'Demand detail'!$C$20:$C$25,$A8,'Demand detail'!$A$20:$A$25,$B$2))</x:f>
        <x:v>330</x:v>
      </x:c>
      <x:c r="C8" s="16" t="n">
        <x:f>IF($B$2="All",SUMIFS('Demand detail'!$H$20:$H$25,'Demand detail'!$C$20:$C$25,$A8),SUMIFS('Demand detail'!$H$20:$H$25,'Demand detail'!$C$20:$C$25,$A8,'Demand detail'!$A$20:$A$25,$B$2))</x:f>
        <x:v>330</x:v>
      </x:c>
      <x:c r="D8" s="17" t="n">
        <x:f>B8+C8</x:f>
        <x:v>660</x:v>
      </x:c>
    </x:row>
  </x:sheetData>
  <x:mergeCells>
    <x:mergeCell ref="A1:D1"/>
  </x:mergeCells>
  <x:dataValidations count="1">
    <x:dataValidation type="list" sqref="B2">
      <x:formula1>"All,Stanley,Other"</x:formula1>
    </x:dataValidation>
  </x:dataValidations>
  <x:pageMargins left="0.7" right="0.7" top="0.75" bottom="0.75" header="0.3" footer="0.3"/>
  <x:legacyDrawing xmlns:r="http://schemas.openxmlformats.org/officeDocument/2006/relationships" r:id="R459f036de8754917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8" hidden="0" customWidth="1"/>
    <x:col min="5" max="5" width="19" hidden="0" customWidth="1"/>
    <x:col min="6" max="6" width="20" hidden="0" customWidth="1"/>
    <x:col min="7" max="7" width="19" hidden="0" customWidth="1"/>
    <x:col min="8" max="8" width="18" hidden="0" customWidth="1"/>
    <x:col min="9" max="9" width="20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17" hidden="0" customWidth="1"/>
    <x:col min="16" max="16" width="20" hidden="0" customWidth="1"/>
  </x:cols>
  <x:sheetData>
    <x:row r="1" ht="34" customHeight="1">
      <x:c r="A1" s="2" t="str">
        <x:v>Kit demand and component explosion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t="str">
        <x:v>Rule</x:v>
      </x:c>
      <x:c r="B2" t="str">
        <x:v>Monthly kits needed = MAX(forecast − shipped, open SO); subtract explicitly allocated finished kits once.</x:v>
      </x:c>
    </x:row>
    <x:row r="3">
      <x:c r="A3" t="str">
        <x:v>Timing</x:v>
      </x:c>
      <x:c r="B3" t="str">
        <x:v>September shipped is month-to-date; on hand is a September 27 snapshot after those shipments.</x:v>
      </x:c>
    </x:row>
    <x:row r="5" ht="32" customHeight="1">
      <x:c r="A5" s="7" t="str">
        <x:v>Account</x:v>
      </x:c>
      <x:c r="B5" s="7" t="str">
        <x:v>Kit</x:v>
      </x:c>
      <x:c r="C5" s="7" t="str">
        <x:v>Sep FC</x:v>
      </x:c>
      <x:c r="D5" s="7" t="str">
        <x:v>Sep shipped</x:v>
      </x:c>
      <x:c r="E5" s="7" t="str">
        <x:v>Sep open SO</x:v>
      </x:c>
      <x:c r="F5" s="7" t="str">
        <x:v>Sep remaining FC</x:v>
      </x:c>
      <x:c r="G5" s="7" t="str">
        <x:v>Sep kit demand</x:v>
      </x:c>
      <x:c r="H5" s="7" t="str">
        <x:v>Sep FG used</x:v>
      </x:c>
      <x:c r="I5" s="7" t="str">
        <x:v>Sep kits to build</x:v>
      </x:c>
      <x:c r="J5" s="7" t="str">
        <x:v>Oct FC</x:v>
      </x:c>
      <x:c r="K5" s="7" t="str">
        <x:v>Oct shipped</x:v>
      </x:c>
      <x:c r="L5" s="7" t="str">
        <x:v>Oct open SO</x:v>
      </x:c>
      <x:c r="M5" s="7" t="str">
        <x:v>Oct remaining FC</x:v>
      </x:c>
      <x:c r="N5" s="7" t="str">
        <x:v>Oct kit demand</x:v>
      </x:c>
      <x:c r="O5" s="7" t="str">
        <x:v>Oct FG used</x:v>
      </x:c>
      <x:c r="P5" s="7" t="str">
        <x:v>Oct kits to build</x:v>
      </x:c>
    </x:row>
    <x:row r="6" ht="23" customHeight="1">
      <x:c r="A6" s="9" t="str">
        <x:v>Stanley</x:v>
      </x:c>
      <x:c r="B6" s="10" t="str">
        <x:v>Kit 1</x:v>
      </x:c>
      <x:c r="C6" s="10" t="n">
        <x:v>100</x:v>
      </x:c>
      <x:c r="D6" s="10" t="n">
        <x:v>50</x:v>
      </x:c>
      <x:c r="E6" s="10" t="n">
        <x:v>100</x:v>
      </x:c>
      <x:c r="F6" s="10" t="n">
        <x:f>MAX(0,C6-D6)</x:f>
        <x:v>50</x:v>
      </x:c>
      <x:c r="G6" s="10" t="n">
        <x:f>MAX(F6,E6)</x:f>
        <x:v>100</x:v>
      </x:c>
      <x:c r="H6" s="10" t="n">
        <x:v>20</x:v>
      </x:c>
      <x:c r="I6" s="10" t="n">
        <x:f>MAX(0,G6-H6)</x:f>
        <x:v>80</x:v>
      </x:c>
      <x:c r="J6" s="10" t="n">
        <x:v>120</x:v>
      </x:c>
      <x:c r="K6" s="10" t="n">
        <x:v>0</x:v>
      </x:c>
      <x:c r="L6" s="10" t="n">
        <x:v>120</x:v>
      </x:c>
      <x:c r="M6" s="10" t="n">
        <x:f>MAX(0,J6-K6)</x:f>
        <x:v>120</x:v>
      </x:c>
      <x:c r="N6" s="10" t="n">
        <x:f>MAX(M6,L6)</x:f>
        <x:v>120</x:v>
      </x:c>
      <x:c r="O6" s="10" t="n">
        <x:v>0</x:v>
      </x:c>
      <x:c r="P6" s="11" t="n">
        <x:f>MAX(0,N6-O6)</x:f>
        <x:v>120</x:v>
      </x:c>
    </x:row>
    <x:row r="7" ht="23" customHeight="1">
      <x:c r="A7" s="12" t="str">
        <x:v>Other</x:v>
      </x:c>
      <x:c r="B7" s="13" t="str">
        <x:v>Kit 1</x:v>
      </x:c>
      <x:c r="C7" s="13" t="n">
        <x:v>0</x:v>
      </x:c>
      <x:c r="D7" s="13" t="n">
        <x:v>0</x:v>
      </x:c>
      <x:c r="E7" s="13" t="n">
        <x:v>10</x:v>
      </x:c>
      <x:c r="F7" s="13" t="n">
        <x:f>MAX(0,C7-D7)</x:f>
        <x:v>0</x:v>
      </x:c>
      <x:c r="G7" s="13" t="n">
        <x:f>MAX(F7,E7)</x:f>
        <x:v>10</x:v>
      </x:c>
      <x:c r="H7" s="13" t="n">
        <x:v>0</x:v>
      </x:c>
      <x:c r="I7" s="13" t="n">
        <x:f>MAX(0,G7-H7)</x:f>
        <x:v>10</x:v>
      </x:c>
      <x:c r="J7" s="13" t="n">
        <x:v>30</x:v>
      </x:c>
      <x:c r="K7" s="13" t="n">
        <x:v>0</x:v>
      </x:c>
      <x:c r="L7" s="13" t="n">
        <x:v>20</x:v>
      </x:c>
      <x:c r="M7" s="13" t="n">
        <x:f>MAX(0,J7-K7)</x:f>
        <x:v>30</x:v>
      </x:c>
      <x:c r="N7" s="13" t="n">
        <x:f>MAX(M7,L7)</x:f>
        <x:v>30</x:v>
      </x:c>
      <x:c r="O7" s="13" t="n">
        <x:v>0</x:v>
      </x:c>
      <x:c r="P7" s="14" t="n">
        <x:f>MAX(0,N7-O7)</x:f>
        <x:v>30</x:v>
      </x:c>
    </x:row>
    <x:row r="8" ht="23" customHeight="1">
      <x:c r="A8" s="15" t="str">
        <x:v>Other</x:v>
      </x:c>
      <x:c r="B8" s="16" t="str">
        <x:v>Kit 2</x:v>
      </x:c>
      <x:c r="C8" s="16" t="n">
        <x:v>150</x:v>
      </x:c>
      <x:c r="D8" s="16" t="n">
        <x:v>30</x:v>
      </x:c>
      <x:c r="E8" s="16" t="n">
        <x:v>50</x:v>
      </x:c>
      <x:c r="F8" s="16" t="n">
        <x:f>MAX(0,C8-D8)</x:f>
        <x:v>120</x:v>
      </x:c>
      <x:c r="G8" s="16" t="n">
        <x:f>MAX(F8,E8)</x:f>
        <x:v>120</x:v>
      </x:c>
      <x:c r="H8" s="16" t="n">
        <x:v>10</x:v>
      </x:c>
      <x:c r="I8" s="16" t="n">
        <x:f>MAX(0,G8-H8)</x:f>
        <x:v>110</x:v>
      </x:c>
      <x:c r="J8" s="16" t="n">
        <x:v>100</x:v>
      </x:c>
      <x:c r="K8" s="16" t="n">
        <x:v>0</x:v>
      </x:c>
      <x:c r="L8" s="16" t="n">
        <x:v>110</x:v>
      </x:c>
      <x:c r="M8" s="16" t="n">
        <x:f>MAX(0,J8-K8)</x:f>
        <x:v>100</x:v>
      </x:c>
      <x:c r="N8" s="16" t="n">
        <x:f>MAX(M8,L8)</x:f>
        <x:v>110</x:v>
      </x:c>
      <x:c r="O8" s="16" t="n">
        <x:v>0</x:v>
      </x:c>
      <x:c r="P8" s="17" t="n">
        <x:f>MAX(0,N8-O8)</x:f>
        <x:v>110</x:v>
      </x:c>
    </x:row>
    <x:row r="12" ht="32" customHeight="1">
      <x:c r="A12" s="7" t="str">
        <x:v>Kit</x:v>
      </x:c>
      <x:c r="B12" s="7" t="str">
        <x:v>Component</x:v>
      </x:c>
      <x:c r="C12" s="7" t="str">
        <x:v>Qty per kit</x:v>
      </x:c>
    </x:row>
    <x:row r="13" ht="23" customHeight="1">
      <x:c r="A13" s="9" t="str">
        <x:v>Kit 1</x:v>
      </x:c>
      <x:c r="B13" s="10" t="str">
        <x:v>COMP-1</x:v>
      </x:c>
      <x:c r="C13" s="11" t="n">
        <x:v>2</x:v>
      </x:c>
    </x:row>
    <x:row r="14" ht="23" customHeight="1">
      <x:c r="A14" s="12" t="str">
        <x:v>Kit 1</x:v>
      </x:c>
      <x:c r="B14" s="13" t="str">
        <x:v>COMP-2</x:v>
      </x:c>
      <x:c r="C14" s="14" t="n">
        <x:v>1</x:v>
      </x:c>
    </x:row>
    <x:row r="15" ht="23" customHeight="1">
      <x:c r="A15" s="12" t="str">
        <x:v>Kit 2</x:v>
      </x:c>
      <x:c r="B15" s="13" t="str">
        <x:v>COMP-1</x:v>
      </x:c>
      <x:c r="C15" s="14" t="n">
        <x:v>1</x:v>
      </x:c>
    </x:row>
    <x:row r="16" ht="23" customHeight="1">
      <x:c r="A16" s="15" t="str">
        <x:v>Kit 2</x:v>
      </x:c>
      <x:c r="B16" s="16" t="str">
        <x:v>COMP-3</x:v>
      </x:c>
      <x:c r="C16" s="17" t="n">
        <x:v>3</x:v>
      </x:c>
    </x:row>
    <x:row r="19" ht="32" customHeight="1">
      <x:c r="A19" s="7" t="str">
        <x:v>Account</x:v>
      </x:c>
      <x:c r="B19" s="7" t="str">
        <x:v>Kit</x:v>
      </x:c>
      <x:c r="C19" s="7" t="str">
        <x:v>Component</x:v>
      </x:c>
      <x:c r="D19" s="7" t="str">
        <x:v>Qty per kit</x:v>
      </x:c>
      <x:c r="E19" s="7" t="str">
        <x:v>Sep kits to build</x:v>
      </x:c>
      <x:c r="F19" s="7" t="str">
        <x:v>Sep component need</x:v>
      </x:c>
      <x:c r="G19" s="7" t="str">
        <x:v>Oct kits to build</x:v>
      </x:c>
      <x:c r="H19" s="7" t="str">
        <x:v>Oct component need</x:v>
      </x:c>
    </x:row>
    <x:row r="20" ht="23" customHeight="1">
      <x:c r="A20" s="9" t="str">
        <x:v>Stanley</x:v>
      </x:c>
      <x:c r="B20" s="10" t="str">
        <x:v>Kit 1</x:v>
      </x:c>
      <x:c r="C20" s="10" t="str">
        <x:v>COMP-1</x:v>
      </x:c>
      <x:c r="D20" s="10" t="n">
        <x:v>2</x:v>
      </x:c>
      <x:c r="E20" s="10" t="n">
        <x:f>I6</x:f>
        <x:v>80</x:v>
      </x:c>
      <x:c r="F20" s="10" t="n">
        <x:f>D20*E20</x:f>
        <x:v>160</x:v>
      </x:c>
      <x:c r="G20" s="10" t="n">
        <x:f>P6</x:f>
        <x:v>120</x:v>
      </x:c>
      <x:c r="H20" s="11" t="n">
        <x:f>D20*G20</x:f>
        <x:v>240</x:v>
      </x:c>
    </x:row>
    <x:row r="21" ht="23" customHeight="1">
      <x:c r="A21" s="12" t="str">
        <x:v>Stanley</x:v>
      </x:c>
      <x:c r="B21" s="13" t="str">
        <x:v>Kit 1</x:v>
      </x:c>
      <x:c r="C21" s="13" t="str">
        <x:v>COMP-2</x:v>
      </x:c>
      <x:c r="D21" s="13" t="n">
        <x:v>1</x:v>
      </x:c>
      <x:c r="E21" s="13" t="n">
        <x:f>I6</x:f>
        <x:v>80</x:v>
      </x:c>
      <x:c r="F21" s="13" t="n">
        <x:f>D21*E21</x:f>
        <x:v>80</x:v>
      </x:c>
      <x:c r="G21" s="13" t="n">
        <x:f>P6</x:f>
        <x:v>120</x:v>
      </x:c>
      <x:c r="H21" s="14" t="n">
        <x:f>D21*G21</x:f>
        <x:v>120</x:v>
      </x:c>
    </x:row>
    <x:row r="22" ht="23" customHeight="1">
      <x:c r="A22" s="12" t="str">
        <x:v>Other</x:v>
      </x:c>
      <x:c r="B22" s="13" t="str">
        <x:v>Kit 1</x:v>
      </x:c>
      <x:c r="C22" s="13" t="str">
        <x:v>COMP-1</x:v>
      </x:c>
      <x:c r="D22" s="13" t="n">
        <x:v>2</x:v>
      </x:c>
      <x:c r="E22" s="13" t="n">
        <x:f>I7</x:f>
        <x:v>10</x:v>
      </x:c>
      <x:c r="F22" s="13" t="n">
        <x:f>D22*E22</x:f>
        <x:v>20</x:v>
      </x:c>
      <x:c r="G22" s="13" t="n">
        <x:f>P7</x:f>
        <x:v>30</x:v>
      </x:c>
      <x:c r="H22" s="14" t="n">
        <x:f>D22*G22</x:f>
        <x:v>60</x:v>
      </x:c>
    </x:row>
    <x:row r="23" ht="23" customHeight="1">
      <x:c r="A23" s="12" t="str">
        <x:v>Other</x:v>
      </x:c>
      <x:c r="B23" s="13" t="str">
        <x:v>Kit 1</x:v>
      </x:c>
      <x:c r="C23" s="13" t="str">
        <x:v>COMP-2</x:v>
      </x:c>
      <x:c r="D23" s="13" t="n">
        <x:v>1</x:v>
      </x:c>
      <x:c r="E23" s="13" t="n">
        <x:f>I7</x:f>
        <x:v>10</x:v>
      </x:c>
      <x:c r="F23" s="13" t="n">
        <x:f>D23*E23</x:f>
        <x:v>10</x:v>
      </x:c>
      <x:c r="G23" s="13" t="n">
        <x:f>P7</x:f>
        <x:v>30</x:v>
      </x:c>
      <x:c r="H23" s="14" t="n">
        <x:f>D23*G23</x:f>
        <x:v>30</x:v>
      </x:c>
    </x:row>
    <x:row r="24" ht="23" customHeight="1">
      <x:c r="A24" s="12" t="str">
        <x:v>Other</x:v>
      </x:c>
      <x:c r="B24" s="13" t="str">
        <x:v>Kit 2</x:v>
      </x:c>
      <x:c r="C24" s="13" t="str">
        <x:v>COMP-1</x:v>
      </x:c>
      <x:c r="D24" s="13" t="n">
        <x:v>1</x:v>
      </x:c>
      <x:c r="E24" s="13" t="n">
        <x:f>I8</x:f>
        <x:v>110</x:v>
      </x:c>
      <x:c r="F24" s="13" t="n">
        <x:f>D24*E24</x:f>
        <x:v>110</x:v>
      </x:c>
      <x:c r="G24" s="13" t="n">
        <x:f>P8</x:f>
        <x:v>110</x:v>
      </x:c>
      <x:c r="H24" s="14" t="n">
        <x:f>D24*G24</x:f>
        <x:v>110</x:v>
      </x:c>
    </x:row>
    <x:row r="25" ht="23" customHeight="1">
      <x:c r="A25" s="15" t="str">
        <x:v>Other</x:v>
      </x:c>
      <x:c r="B25" s="16" t="str">
        <x:v>Kit 2</x:v>
      </x:c>
      <x:c r="C25" s="16" t="str">
        <x:v>COMP-3</x:v>
      </x:c>
      <x:c r="D25" s="16" t="n">
        <x:v>3</x:v>
      </x:c>
      <x:c r="E25" s="16" t="n">
        <x:f>I8</x:f>
        <x:v>110</x:v>
      </x:c>
      <x:c r="F25" s="16" t="n">
        <x:f>D25*E25</x:f>
        <x:v>330</x:v>
      </x:c>
      <x:c r="G25" s="16" t="n">
        <x:f>P8</x:f>
        <x:v>110</x:v>
      </x:c>
      <x:c r="H25" s="17" t="n">
        <x:f>D25*G25</x:f>
        <x:v>330</x:v>
      </x:c>
    </x:row>
  </x:sheetData>
  <x:mergeCells>
    <x:mergeCell ref="A1:P1"/>
  </x:mergeCells>
  <x:pageMargins left="0.7" right="0.7" top="0.75" bottom="0.75" header="0.3" footer="0.3"/>
  <x:legacyDrawing xmlns:r="http://schemas.openxmlformats.org/officeDocument/2006/relationships" r:id="R3dcf34c0136b4409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7" hidden="0" customWidth="1"/>
    <x:col min="7" max="7" width="25" hidden="0" customWidth="1"/>
    <x:col min="8" max="8" width="15" hidden="0" customWidth="1"/>
    <x:col min="9" max="9" width="15" hidden="0" customWidth="1"/>
    <x:col min="10" max="10" width="14" hidden="0" customWidth="1"/>
  </x:cols>
  <x:sheetData>
    <x:row r="1" ht="34" customHeight="1">
      <x:c r="A1" s="2" t="str">
        <x:v>Illustrative supply and purchasing inputs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t="str">
        <x:v>Inventory snapshot</x:v>
      </x:c>
      <x:c r="B2" s="3" t="n">
        <x:v>46292</x:v>
      </x:c>
    </x:row>
    <x:row r="3">
      <x:c r="A3" t="str">
        <x:v>Source</x:v>
      </x:c>
      <x:c r="B3" t="str">
        <x:v>Sample values for design review; replace with Acumatica/Velixo data</x:v>
      </x:c>
    </x:row>
    <x:row r="5" ht="32" customHeight="1">
      <x:c r="A5" s="7" t="str">
        <x:v>Component</x:v>
      </x:c>
      <x:c r="B5" s="7" t="str">
        <x:v>Description</x:v>
      </x:c>
      <x:c r="C5" s="7" t="str">
        <x:v>On hand</x:v>
      </x:c>
      <x:c r="D5" s="7" t="str">
        <x:v>PO due Sep</x:v>
      </x:c>
      <x:c r="E5" s="7" t="str">
        <x:v>PO due Oct</x:v>
      </x:c>
      <x:c r="F5" s="7" t="str">
        <x:v>Vendor code</x:v>
      </x:c>
      <x:c r="G5" s="7" t="str">
        <x:v>Vendor name</x:v>
      </x:c>
      <x:c r="H5" s="7" t="str">
        <x:v>MOQ (pcs)</x:v>
      </x:c>
      <x:c r="I5" s="7" t="str">
        <x:v>Lot multiple</x:v>
      </x:c>
      <x:c r="J5" s="7" t="str">
        <x:v>Lead days</x:v>
      </x:c>
    </x:row>
    <x:row r="6" ht="23" customHeight="1">
      <x:c r="A6" s="9" t="str">
        <x:v>COMP-1</x:v>
      </x:c>
      <x:c r="B6" s="10" t="str">
        <x:v>Chain</x:v>
      </x:c>
      <x:c r="C6" s="10" t="n">
        <x:v>200</x:v>
      </x:c>
      <x:c r="D6" s="10" t="n">
        <x:v>20</x:v>
      </x:c>
      <x:c r="E6" s="10" t="n">
        <x:v>250</x:v>
      </x:c>
      <x:c r="F6" s="10" t="str">
        <x:v>V-A</x:v>
      </x:c>
      <x:c r="G6" s="10" t="str">
        <x:v>Example Supplier A</x:v>
      </x:c>
      <x:c r="H6" s="10" t="n">
        <x:v>200</x:v>
      </x:c>
      <x:c r="I6" s="10" t="n">
        <x:v>50</x:v>
      </x:c>
      <x:c r="J6" s="11" t="n">
        <x:v>14</x:v>
      </x:c>
    </x:row>
    <x:row r="7" ht="23" customHeight="1">
      <x:c r="A7" s="12" t="str">
        <x:v>COMP-2</x:v>
      </x:c>
      <x:c r="B7" s="13" t="str">
        <x:v>Clasp</x:v>
      </x:c>
      <x:c r="C7" s="13" t="n">
        <x:v>100</x:v>
      </x:c>
      <x:c r="D7" s="13" t="n">
        <x:v>30</x:v>
      </x:c>
      <x:c r="E7" s="13" t="n">
        <x:v>0</x:v>
      </x:c>
      <x:c r="F7" s="13" t="str">
        <x:v>V-B</x:v>
      </x:c>
      <x:c r="G7" s="13" t="str">
        <x:v>Example Supplier B</x:v>
      </x:c>
      <x:c r="H7" s="13" t="n">
        <x:v>100</x:v>
      </x:c>
      <x:c r="I7" s="13" t="n">
        <x:v>25</x:v>
      </x:c>
      <x:c r="J7" s="14" t="n">
        <x:v>7</x:v>
      </x:c>
    </x:row>
    <x:row r="8" ht="23" customHeight="1">
      <x:c r="A8" s="15" t="str">
        <x:v>COMP-3</x:v>
      </x:c>
      <x:c r="B8" s="16" t="str">
        <x:v>Pendant</x:v>
      </x:c>
      <x:c r="C8" s="16" t="n">
        <x:v>150</x:v>
      </x:c>
      <x:c r="D8" s="16" t="n">
        <x:v>40</x:v>
      </x:c>
      <x:c r="E8" s="16" t="n">
        <x:v>100</x:v>
      </x:c>
      <x:c r="F8" s="16" t="str">
        <x:v>V-C</x:v>
      </x:c>
      <x:c r="G8" s="16" t="str">
        <x:v>Example Supplier C</x:v>
      </x:c>
      <x:c r="H8" s="16" t="n">
        <x:v>50</x:v>
      </x:c>
      <x:c r="I8" s="16" t="n">
        <x:v>25</x:v>
      </x:c>
      <x:c r="J8" s="17" t="n">
        <x:v>21</x:v>
      </x:c>
    </x:row>
    <x:row r="11" ht="32" customHeight="1">
      <x:c r="A11" s="7" t="str">
        <x:v>Finished kit</x:v>
      </x:c>
      <x:c r="B11" s="7" t="str">
        <x:v>FG on hand</x:v>
      </x:c>
      <x:c r="C11" s="7" t="str">
        <x:v>FG allocated below</x:v>
      </x:c>
    </x:row>
    <x:row r="12" ht="23" customHeight="1">
      <x:c r="A12" s="9" t="str">
        <x:v>Kit 1</x:v>
      </x:c>
      <x:c r="B12" s="10" t="n">
        <x:v>20</x:v>
      </x:c>
      <x:c r="C12" s="11" t="n">
        <x:f>SUMIFS('Demand detail'!$H$6:$H$8,'Demand detail'!$B$6:$B$8,A12)+SUMIFS('Demand detail'!$O$6:$O$8,'Demand detail'!$B$6:$B$8,A12)</x:f>
        <x:v>20</x:v>
      </x:c>
    </x:row>
    <x:row r="13" ht="23" customHeight="1">
      <x:c r="A13" s="15" t="str">
        <x:v>Kit 2</x:v>
      </x:c>
      <x:c r="B13" s="16" t="n">
        <x:v>10</x:v>
      </x:c>
      <x:c r="C13" s="17" t="n">
        <x:f>SUMIFS('Demand detail'!$H$6:$H$8,'Demand detail'!$B$6:$B$8,A13)+SUMIFS('Demand detail'!$O$6:$O$8,'Demand detail'!$B$6:$B$8,A13)</x:f>
        <x:v>10</x:v>
      </x:c>
    </x:row>
    <x:row r="15">
      <x:c r="A15" t="str">
        <x:v>FG allocation check</x:v>
      </x:c>
      <x:c r="B15" t="str">
        <x:f>IF(SUMPRODUCT(--(C12:C13&gt;B12:B13))&gt;0,"OVER-ALLOCATED","OK")</x:f>
        <x:v>OK</x:v>
      </x:c>
    </x:row>
    <x:row r="17">
      <x:c r="A17" t="str">
        <x:v>Lead times are illustrative days; Deone’s actual lead-time units still need confirmation.</x:v>
      </x:c>
    </x:row>
  </x:sheetData>
  <x:mergeCells>
    <x:mergeCell ref="A1:J1"/>
  </x:mergeCells>
  <x:pageMargins left="0.7" right="0.7" top="0.75" bottom="0.75" header="0.3" footer="0.3"/>
  <x:legacyDrawing xmlns:r="http://schemas.openxmlformats.org/officeDocument/2006/relationships" r:id="Rd940969473f44fb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5" hidden="0" customWidth="1"/>
  </x:cols>
  <x:sheetData>
    <x:row r="1" ht="34" customHeight="1">
      <x:c r="A1" s="2" t="str">
        <x:v>How to review this prototype</x:v>
      </x:c>
      <x:c r="B1" s="2"/>
    </x:row>
    <x:row r="3" ht="32" customHeight="1">
      <x:c r="A3" s="7" t="str">
        <x:v>Topic</x:v>
      </x:c>
      <x:c r="B3" s="7" t="str">
        <x:v>Prototype assumption or open decision</x:v>
      </x:c>
    </x:row>
    <x:row r="4" ht="44" customHeight="1">
      <x:c r="A4" s="34" t="str">
        <x:v>Purpose</x:v>
      </x:c>
      <x:c r="B4" s="35" t="str">
        <x:v>Illustrative layout and formulas based on Peiyu’s draft; no live ERP or Velixo connection.</x:v>
      </x:c>
    </x:row>
    <x:row r="5" ht="44" customHeight="1">
      <x:c r="A5" s="36" t="str">
        <x:v>Demand grain</x:v>
      </x:c>
      <x:c r="B5" s="37" t="str">
        <x:v>Forecast consumption is calculated for each account, kit, and month before component quantities are applied.</x:v>
      </x:c>
    </x:row>
    <x:row r="6" ht="44" customHeight="1">
      <x:c r="A6" s="36" t="str">
        <x:v>Demand rule</x:v>
      </x:c>
      <x:c r="B6" s="37" t="str">
        <x:v>Remaining forecast = MAX(0, forecast − shipped); kit demand = MAX(remaining forecast, open sales orders). Confirm this business rule with Peiyu and Deone.</x:v>
      </x:c>
    </x:row>
    <x:row r="7" ht="44" customHeight="1">
      <x:c r="A7" s="36" t="str">
        <x:v>Finished goods</x:v>
      </x:c>
      <x:c r="B7" s="37" t="str">
        <x:v>A kit-level FG allocation reduces kits to build once. Sample allocations are explicit and checked against FG stock.</x:v>
      </x:c>
    </x:row>
    <x:row r="8" ht="44" customHeight="1">
      <x:c r="A8" s="36" t="str">
        <x:v>Inventory</x:v>
      </x:c>
      <x:c r="B8" s="37" t="str">
        <x:v>Component on hand is a single September 27 snapshot; October starts with September ending stock after the suggested buy.</x:v>
      </x:c>
    </x:row>
    <x:row r="9" ht="44" customHeight="1">
      <x:c r="A9" s="36" t="str">
        <x:v>Purchase orders</x:v>
      </x:c>
      <x:c r="B9" s="37" t="str">
        <x:v>Existing PO quantities are placed in their expected receipt month; all are assumed usable by month-end.</x:v>
      </x:c>
    </x:row>
    <x:row r="10" ht="44" customHeight="1">
      <x:c r="A10" s="36" t="str">
        <x:v>Vendor constraints</x:v>
      </x:c>
      <x:c r="B10" s="37" t="str">
        <x:v>Sample MOQ is in pieces, lead is in calendar days, and lot multiples are illustrative. Actual vendor data has mixed units and gaps.</x:v>
      </x:c>
    </x:row>
    <x:row r="11" ht="44" customHeight="1">
      <x:c r="A11" s="36" t="str">
        <x:v>Account view</x:v>
      </x:c>
      <x:c r="B11" s="37" t="str">
        <x:v>Filters demand only. Shared component inventory is evaluated once in the all-account purchase plan.</x:v>
      </x:c>
    </x:row>
    <x:row r="12" ht="44" customHeight="1">
      <x:c r="A12" s="36" t="str">
        <x:v>Timing limit</x:v>
      </x:c>
      <x:c r="B12" s="37" t="str">
        <x:v>Monthly buckets can miss a shortage earlier in the month; a production report may need required and receipt dates.</x:v>
      </x:c>
    </x:row>
    <x:row r="13" ht="44" customHeight="1">
      <x:c r="A13" s="36" t="str">
        <x:v>Receipt assumption</x:v>
      </x:c>
      <x:c r="B13" s="37" t="str">
        <x:v>Ending balances include suggested buys only if those buys arrive by the required month. EXPEDITE rows require confirmation.</x:v>
      </x:c>
    </x:row>
    <x:row r="14" ht="44" customHeight="1">
      <x:c r="A14" s="38" t="str">
        <x:v>Needed before build</x:v>
      </x:c>
      <x:c r="B14" s="39" t="str">
        <x:v>Confirm forecast consumption, FG allocation, source fields, account mapping, PO dates/status, vendor units, and Acumatica/Velixo access.</x:v>
      </x:c>
    </x:row>
  </x:sheetData>
  <x:mergeCells>
    <x:mergeCell ref="A1:B1"/>
  </x:mergeCells>
  <x:pageMargins left="0.7" right="0.7" top="0.75" bottom="0.75" header="0.3" footer="0.3"/>
  <x:legacyDrawing xmlns:r="http://schemas.openxmlformats.org/officeDocument/2006/relationships" r:id="Ra267368cc91d4341"/>
</x:worksheet>
</file>