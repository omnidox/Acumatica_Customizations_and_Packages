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comm\Downloads\"/>
    </mc:Choice>
  </mc:AlternateContent>
  <xr:revisionPtr revIDLastSave="0" documentId="13_ncr:1_{C92A836D-C63D-423E-B4B1-A4092F98DF66}" xr6:coauthVersionLast="47" xr6:coauthVersionMax="47" xr10:uidLastSave="{00000000-0000-0000-0000-000000000000}"/>
  <bookViews>
    <workbookView xWindow="1335" yWindow="6480" windowWidth="28800" windowHeight="15345" xr2:uid="{4991FC53-5940-4E2F-9F47-3A4F4C93CE78}"/>
  </bookViews>
  <sheets>
    <sheet name="Sheet1" sheetId="1" r:id="rId1"/>
    <sheet name="VelixoReportsConnections" sheetId="3" state="veryHidden" r:id="rId2"/>
    <sheet name="VelixoReportsGIOptions" sheetId="4" state="veryHidden" r:id="rId3"/>
    <sheet name="VelixoReportsSettings" sheetId="5" state="veryHidden" r:id="rId4"/>
    <sheet name="VelixoNxStorage" sheetId="6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 a="1"/>
  <c r="A7" i="1" s="1"/>
  <c r="A4" i="1" a="1"/>
  <c r="A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<sst xmlns="http://schemas.openxmlformats.org/spreadsheetml/2006/main" count="24" uniqueCount="21">
  <si>
    <t>iStar</t>
  </si>
  <si>
    <t>https://istar.privatecloudcorp.com/AcumaticaERP</t>
  </si>
  <si>
    <t>Company</t>
  </si>
  <si>
    <t>Sales Profitability Analysis Detailed</t>
  </si>
  <si>
    <t>Branch,Date,CustomerOrderNbr,ReferenceNbr,CustomerID,Customer_2,NetSale,ItemClass,InventoryID,Quantity</t>
  </si>
  <si>
    <t>9cfa9dbc-3460-4359-a156-df030900f263</t>
  </si>
  <si>
    <t>FullRefresh</t>
  </si>
  <si>
    <t>2026-09-25T19:30:28.121Z</t>
  </si>
  <si>
    <t>Sales Profitability Report</t>
  </si>
  <si>
    <t>Branch</t>
  </si>
  <si>
    <t>Date</t>
  </si>
  <si>
    <t>CustomerOrderNbr</t>
  </si>
  <si>
    <t>ReferenceNbr</t>
  </si>
  <si>
    <t>CustomerID</t>
  </si>
  <si>
    <t>Customer_2</t>
  </si>
  <si>
    <t>NetSale</t>
  </si>
  <si>
    <t>ItemClass</t>
  </si>
  <si>
    <t>InventoryID</t>
  </si>
  <si>
    <t>Quantity</t>
  </si>
  <si>
    <t>2026-09-28T15:28:20.106Z</t>
  </si>
  <si>
    <t>{"persist:lastRefreshReducer":"{\"lastRefreshedOn\":\"1790609311678\",\"lastRefreshedBy\":\"\\\"lhu@stanleycreations.com\\\"\",\"_persist\":\"{\\\"version\\\":-1,\\\"rehydrated\\\":true}\"}"}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</si>
</sst>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rgb="FF000C34"/>
      <name val="Roboto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ichStyles" Target="richData/rich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" Target="richData/rdsupportingpropertybag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>46281</fb>
    <v>0</v>
  </rv>
  <rv s="0">
    <fb>46288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m/d/yyyy"/>
    </x:dxf>
  </dxfs>
  <richProperties>
    <rPr n="NumberFormat" t="s"/>
  </richProperties>
  <richStyles>
    <rSty dxfid="0">
      <rpv i="0">yyyy-mm-dd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6A7C339-B98F-4BE5-AAD2-940755ADB962}">
  <we:reference id="wa200002311" version="1.2024.9.188" store="en-US" storeType="OMEX"/>
  <we:alternateReferences>
    <we:reference id="WA200002311" version="1.2024.9.188" store="" storeType="OMEX"/>
  </we:alternateReferences>
  <we:properties>
    <we:property name="Office.DisableTrustUX" value="true"/>
    <we:property name="Office.ForceRefreshCustomFunctionSourceCache" value="true"/>
    <we:property name="Office.ForceRefreshCustomFunctionsCache" value="true"/>
    <we:property name="persist:centralizedConnectionLinksReducer" value="&quot;{\&quot;links\&quot;:\&quot;{}\&quot;,\&quot;_persist\&quot;:\&quot;{\\\&quot;version\\\&quot;:1,\\\&quot;rehydrated\\\&quot;:true}\&quot;}&quot;"/>
    <we:property name="persist:connectionCollectionReducer" value="&quot;{\&quot;9cfa9dbc-3460-4359-a156-df030900f263\&quot;:\&quot;{\\\&quot;name\\\&quot;:\\\&quot;iStar\\\&quot;,\\\&quot;uuid\\\&quot;:\\\&quot;9cfa9dbc-3460-4359-a156-df030900f263\\\&quot;,\\\&quot;type\\\&quot;:\\\&quot;acumatica\\\&quot;,\\\&quot;shouldRememberCredentials\\\&quot;:false,\\\&quot;lastModifiedOn\\\&quot;:1790609300106,\\\&quot;uri\\\&quot;:\\\&quot;https://istar.privatecloudcorp.com/AcumaticaERP\\\&quot;,\\\&quot;tenant\\\&quot;:\\\&quot;Company\\\&quot;,\\\&quot;isMultiTenant\\\&quot;:true}\&quot;,\&quot;_persist\&quot;:\&quot;{\\\&quot;version\\\&quot;:4,\\\&quot;rehydrated\\\&quot;:true}\&quot;}&quot;"/>
    <we:property name="persist:genericInquiriesOptionsReducer" value="&quot;{\&quot;9cfa9dbc-3460-4359-a156-df030900f263-Sales Profitability Analysis Detailed\&quot;:\&quot;{\\\&quot;connectionUuid\\\&quot;:\\\&quot;9cfa9dbc-3460-4359-a156-df030900f263\\\&quot;,\\\&quot;inquiryName\\\&quot;:\\\&quot;Sales Profitability Analysis Detailed\\\&quot;,\\\&quot;isSmartRefreshEnabled\\\&quot;:false,\\\&quot;keyFields\\\&quot;:[],\\\&quot;shouldLoadEntireInquiryAndFilterLocally\\\&quot;:false,\\\&quot;lastModifiedOn\\\&quot;:1790364628121,\\\&quot;isInaccessible\\\&quot;:false}\&quot;,\&quot;_persist\&quot;:\&quot;{\\\&quot;version\\\&quot;:1,\\\&quot;rehydrated\\\&quot;:true}\&quot;}&quot;"/>
    <we:property name="persist:globalObjectFiltersReducer" value="&quot;{\&quot;_persist\&quot;:\&quot;{\\\&quot;version\\\&quot;:0,\\\&quot;rehydrated\\\&quot;:true}\&quot;}&quot;"/>
    <we:property name="persist:granularBalanceLoadingReducer" value="&quot;{\&quot;isFrozenToLocalValues\&quot;:\&quot;false\&quot;,\&quot;byConnection\&quot;:\&quot;{}\&quot;,\&quot;_persist\&quot;:\&quot;{\\\&quot;version\\\&quot;:1,\\\&quot;rehydrated\\\&quot;:true}\&quot;}&quot;"/>
    <we:property name="persist:nxOnlyWorkbookOptionsReducer" value="&quot;{\&quot;asyncDataRetrievalForIntacct\&quot;:\&quot;\\\&quot;synchronous\\\&quot;\&quot;,\&quot;numberOfSdkFunctionsPerIntacctRequest\&quot;:\&quot;16\&quot;,\&quot;numberOfConcurrentIntacctRestApiRequests\&quot;:\&quot;8\&quot;,\&quot;numberOfConcurrentBusinessCentralErpDataRequests\&quot;:\&quot;4\&quot;,\&quot;globalConcurrencyLimit\&quot;:\&quot;4096\&quot;,\&quot;shouldOnlyLoadBalancesForAccountsSpecifiedInTheWorkbook\&quot;:\&quot;false\&quot;,\&quot;shouldUseDetailedDrilldown\&quot;:\&quot;false\&quot;,\&quot;shouldSkipFirstLevelDrilldown\&quot;:\&quot;false\&quot;,\&quot;writebackProcessingOrder\&quot;:\&quot;\\\&quot;over-then-down\\\&quot;\&quot;,\&quot;documentColumnValueForDetailedDrilldown\&quot;:\&quot;\\\&quot;bill-invoice-adjustment-number\\\&quot;\&quot;,\&quot;shouldRefreshPrecedentWorksheets\&quot;:\&quot;true\&quot;,\&quot;velixoRangeUnionType\&quot;:\&quot;\\\&quot;comma-or-semicolon\\\&quot;\&quot;,\&quot;velixoRangeDelimiterType\&quot;:\&quot;\\\&quot;colon\\\&quot;\&quot;,\&quot;lastModifiedByKey\&quot;:\&quot;{}\&quot;,\&quot;_persist\&quot;:\&quot;{\\\&quot;version\\\&quot;:2,\\\&quot;rehydrated\\\&quot;:true}\&quot;}&quot;"/>
    <we:property name="persist:workbookIdentityReducer" value="&quot;{\&quot;workbookId\&quot;:\&quot;\\\&quot;d333bf52-ca54-4c68-905d-1905f2bdee87\\\&quot;\&quot;,\&quot;_persist\&quot;:\&quot;{\\\&quot;version\\\&quot;:-1,\\\&quot;rehydrated\\\&quot;:true}\&quot;}&quot;"/>
    <we:property name="persist:workbookOptionsReducer" value="&quot;{\&quot;shouldIgnoreEntityDoesNotExistError\&quot;:\&quot;{\\\&quot;value\\\&quot;:false}\&quot;,\&quot;shouldRefreshDataOnOpen\&quot;:\&quot;{\\\&quot;value\\\&quot;:false}\&quot;,\&quot;shouldRefreshExternalDataOnRefresh\&quot;:\&quot;{\\\&quot;value\\\&quot;:false}\&quot;,\&quot;isAccountBalanceSignReversed\&quot;:\&quot;{\\\&quot;value\\\&quot;:false}\&quot;,\&quot;blankRangesProcessingMode\&quot;:\&quot;{\\\&quot;value\\\&quot;:\\\&quot;keep-all-blanks\\\&quot;}\&quot;,\&quot;shouldDrilldownToSeparateWorkbook\&quot;:\&quot;{\\\&quot;value\\\&quot;:false}\&quot;,\&quot;_persist\&quot;:\&quot;{\\\&quot;version\\\&quot;:2,\\\&quot;rehydrated\\\&quot;:true}\&quot;}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ACCOUNTBEGINNINGBALANCE</we:customFunctionIds>
        <we:customFunctionIds>ACCOUNTCLASS</we:customFunctionIds>
        <we:customFunctionIds>ACCOUNTCLASSLIST</we:customFunctionIds>
        <we:customFunctionIds>ACCOUNTCLASSNAME</we:customFunctionIds>
        <we:customFunctionIds>ACCOUNTCONSOLIST</we:customFunctionIds>
        <we:customFunctionIds>ACCOUNTENDINGBALANCE</we:customFunctionIds>
        <we:customFunctionIds>ACCOUNTGROUPDESCRIPTION</we:customFunctionIds>
        <we:customFunctionIds>ACCOUNTNAME</we:customFunctionIds>
        <we:customFunctionIds>ACCOUNTSANDSUBACCOUNTSWITHHISTORY</we:customFunctionIds>
        <we:customFunctionIds>ACCOUNTSWITHHISTORY</we:customFunctionIds>
        <we:customFunctionIds>ACCOUNTTOTALCREDITS</we:customFunctionIds>
        <we:customFunctionIds>ACCOUNTTOTALDEBITS</we:customFunctionIds>
        <we:customFunctionIds>ACCOUNTTURNOVER</we:customFunctionIds>
        <we:customFunctionIds>ACCOUNTTYPE</we:customFunctionIds>
        <we:customFunctionIds>BRANCHLIST</we:customFunctionIds>
        <we:customFunctionIds>BRANCHNAME</we:customFunctionIds>
        <we:customFunctionIds>WRITEBACKJOURNAL</we:customFunctionIds>
        <we:customFunctionIds>WRITEBACKBUDGET</we:customFunctionIds>
        <we:customFunctionIds>WRITEBACKPROJECTUPDATEBUDGET</we:customFunctionIds>
        <we:customFunctionIds>COMPANYNAME</we:customFunctionIds>
        <we:customFunctionIds>COSTCODEDESCRIPTION</we:customFunctionIds>
        <we:customFunctionIds>EXPANDACCOUNTCLASSRANGE</we:customFunctionIds>
        <we:customFunctionIds>EXPANDACCOUNTGROUPRANGE</we:customFunctionIds>
        <we:customFunctionIds>EXPANDACCOUNTRANGE</we:customFunctionIds>
        <we:customFunctionIds>EXPANDBRANCHRANGE</we:customFunctionIds>
        <we:customFunctionIds>EXPANDCOMPANYRANGE</we:customFunctionIds>
        <we:customFunctionIds>EXPANDCOSTCODERANGE</we:customFunctionIds>
        <we:customFunctionIds>EXPANDINVENTORYITEMRANGE</we:customFunctionIds>
        <we:customFunctionIds>ACU.EXPANDOBJECTRANGE</we:customFunctionIds>
        <we:customFunctionIds>ACU.OBJECTDEFINITION</we:customFunctionIds>
        <we:customFunctionIds>ACU.EXPANDLEDGERRANGE</we:customFunctionIds>
        <we:customFunctionIds>EXPANDPROJECTHISTORY</we:customFunctionIds>
        <we:customFunctionIds>EXPANDPROJECTRANGE</we:customFunctionIds>
        <we:customFunctionIds>ACU.EXPANDPROJECTTASKRANGE</we:customFunctionIds>
        <we:customFunctionIds>EXPANDSEGMENTVALUERANGE</we:customFunctionIds>
        <we:customFunctionIds>EXPANDSUBACCOUNTRANGE</we:customFunctionIds>
        <we:customFunctionIds>FINANCIALPERIOD</we:customFunctionIds>
        <we:customFunctionIds>FINANCIALPERIODBYDATE</we:customFunctionIds>
        <we:customFunctionIds>FINANCIALPERIODENDDATE</we:customFunctionIds>
        <we:customFunctionIds>FINANCIALPERIODLIST</we:customFunctionIds>
        <we:customFunctionIds>FINANCIALPERIODOFFSET</we:customFunctionIds>
        <we:customFunctionIds>FINANCIALPERIODSTARTDATE</we:customFunctionIds>
        <we:customFunctionIds>WRITEBACKPROJECTCOSTPROJECTION</we:customFunctionIds>
        <we:customFunctionIds>WRITEBACK</we:customFunctionIds>
        <we:customFunctionIds>ACU.QUERY</we:customFunctionIds>
        <we:customFunctionIds>ACU.QUERYFILTER</we:customFunctionIds>
        <we:customFunctionIds>GI</we:customFunctionIds>
        <we:customFunctionIds>ACU.GIQL</we:customFunctionIds>
        <we:customFunctionIds>GIFILTER</we:customFunctionIds>
        <we:customFunctionIds>GILOOKUP</we:customFunctionIds>
        <we:customFunctionIds>GILOOKUPF</we:customFunctionIds>
        <we:customFunctionIds>INVENTORYITEMDESCRIPTION</we:customFunctionIds>
        <we:customFunctionIds>PROJECTBEGINNINGAMOUNT</we:customFunctionIds>
        <we:customFunctionIds>PROJECTBEGINNINGQUANTITY</we:customFunctionIds>
        <we:customFunctionIds>PROJECTBUDGETAMOUNT</we:customFunctionIds>
        <we:customFunctionIds>PROJECTBUDGETQUANTITY</we:customFunctionIds>
        <we:customFunctionIds>PROJECTCHANGEORDERAMOUNT</we:customFunctionIds>
        <we:customFunctionIds>PROJECTCHANGEORDERQUANTITY</we:customFunctionIds>
        <we:customFunctionIds>PROJECTCOMMITTEDCHANGEORDERAMOUNT</we:customFunctionIds>
        <we:customFunctionIds>PROJECTCOMMITTEDCHANGEORDERQUANTITY</we:customFunctionIds>
        <we:customFunctionIds>PROJECTCOMMITTEDAMOUNT</we:customFunctionIds>
        <we:customFunctionIds>PROJECTCOMMITTEDINVOICEDAMOUNT</we:customFunctionIds>
        <we:customFunctionIds>PROJECTCOMMITTEDINVOICEDQUANTITY</we:customFunctionIds>
        <we:customFunctionIds>PROJECTCOMMITTEDOPENAMOUNT</we:customFunctionIds>
        <we:customFunctionIds>PROJECTCOMMITTEDOPENQUANTITY</we:customFunctionIds>
        <we:customFunctionIds>PROJECTCOMMITTEDQUANTITY</we:customFunctionIds>
        <we:customFunctionIds>PROJECTCOMMITTEDRECEIVEDQUANTITY</we:customFunctionIds>
        <we:customFunctionIds>PROJECTCOSTATCOMPLETION</we:customFunctionIds>
        <we:customFunctionIds>PROJECTCOSTTOCOMPLETE</we:customFunctionIds>
        <we:customFunctionIds>PROJECTDESCRIPTION</we:customFunctionIds>
        <we:customFunctionIds>PROJECTENDDATE</we:customFunctionIds>
        <we:customFunctionIds>PROJECTENDINGAMOUNT</we:customFunctionIds>
        <we:customFunctionIds>PROJECTENDINGQUANTITY</we:customFunctionIds>
        <we:customFunctionIds>PROJECTFORECASTAMOUNT</we:customFunctionIds>
        <we:customFunctionIds>PROJECTFORECASTQUANTITY</we:customFunctionIds>
        <we:customFunctionIds>PROJECTFORECASTREVISEDAMOUNT</we:customFunctionIds>
        <we:customFunctionIds>PROJECTFORECASTREVISEDQUANTITY</we:customFunctionIds>
        <we:customFunctionIds>PROJECTPENDINGINVOICEAMOUNT</we:customFunctionIds>
        <we:customFunctionIds>PROJECTREVISEDBUDGETAMOUNT</we:customFunctionIds>
        <we:customFunctionIds>PROJECTREVISEDBUDGETQUANTITY</we:customFunctionIds>
        <we:customFunctionIds>PROJECTREVISEDCOMMITTEDAMOUNT</we:customFunctionIds>
        <we:customFunctionIds>PROJECTREVISEDCOMMITTEDQUANTITY</we:customFunctionIds>
        <we:customFunctionIds>PROJECTSTARTDATE</we:customFunctionIds>
        <we:customFunctionIds>PROJECTTASKDESCRIPTION</we:customFunctionIds>
        <we:customFunctionIds>PROJECTTASKENDDATE</we:customFunctionIds>
        <we:customFunctionIds>PROJECTTASKPLANNEDENDDATE</we:customFunctionIds>
        <we:customFunctionIds>PROJECTTASKPLANNEDSTARTDATE</we:customFunctionIds>
        <we:customFunctionIds>PROJECTTASKSTARTDATE</we:customFunctionIds>
        <we:customFunctionIds>PROJECTTURNOVERAMOUNT</we:customFunctionIds>
        <we:customFunctionIds>PROJECTTURNOVERQUANTITY</we:customFunctionIds>
        <we:customFunctionIds>WRITEBACKPROJECTFORECAST</we:customFunctionIds>
        <we:customFunctionIds>SEGMENTDESCRIPTION</we:customFunctionIds>
        <we:customFunctionIds>SUBACCOUNTNAME</we:customFunctionIds>
        <we:customFunctionIds>WRITEBACKARGUMENTS</we:customFunctionIds>
        <we:customFunctionIds>WRITEBACKREFRESHDATA</we:customFunctionIds>
        <we:customFunctionIds>GETATTACHMENTS</we:customFunctionIds>
        <we:customFunctionIds>BC.EXPANDACCOUNTRANGE</we:customFunctionIds>
        <we:customFunctionIds>BC.EXPANDBUDGETRANGE</we:customFunctionIds>
        <we:customFunctionIds>BC.BUDGETDIMENSIONS</we:customFunctionIds>
        <we:customFunctionIds>BC.BUDGETDESCRIPTION</we:customFunctionIds>
        <we:customFunctionIds>BC.ACCOUNTNAME</we:customFunctionIds>
        <we:customFunctionIds>BC.DIMENSIONNAME</we:customFunctionIds>
        <we:customFunctionIds>BC.ACCOUNTCATEGORY</we:customFunctionIds>
        <we:customFunctionIds>BC.ACCOUNTSUBCATEGORY</we:customFunctionIds>
        <we:customFunctionIds>BC.QUERY</we:customFunctionIds>
        <we:customFunctionIds>BC.QUERYFILTER</we:customFunctionIds>
        <we:customFunctionIds>BC.QUERYTABLE</we:customFunctionIds>
        <we:customFunctionIds>BC.QUERYTABLELOOKUP</we:customFunctionIds>
        <we:customFunctionIds>BC.QUERYTABLEFILTER</we:customFunctionIds>
        <we:customFunctionIds>BC.OBJECTDEFINITION</we:customFunctionIds>
        <we:customFunctionIds>BC.EXPANDOBJECTRANGE</we:customFunctionIds>
        <we:customFunctionIds>BC.TURNOVER</we:customFunctionIds>
        <we:customFunctionIds>BC.BUDGETTURNOVER</we:customFunctionIds>
        <we:customFunctionIds>BC.CREDITS</we:customFunctionIds>
        <we:customFunctionIds>BC.DEBITS</we:customFunctionIds>
        <we:customFunctionIds>BC.CLOSINGBALANCE</we:customFunctionIds>
        <we:customFunctionIds>BC.OPENINGBALANCE</we:customFunctionIds>
        <we:customFunctionIds>BC.WRITEBACKJOURNAL</we:customFunctionIds>
        <we:customFunctionIds>BC.WRITEBACKBUDGET</we:customFunctionIds>
        <we:customFunctionIds>BC.WRITEBACK</we:customFunctionIds>
        <we:customFunctionIds>BC.EXPANDDIMENSIONRANGE</we:customFunctionIds>
        <we:customFunctionIds>BC.EXPANDDIMENSIONVALUERANGE</we:customFunctionIds>
        <we:customFunctionIds>BC.DIMENSIONVALUENAME</we:customFunctionIds>
        <we:customFunctionIds>BC.EXPANDACCOUNTSUBCATEGORYRANGE</we:customFunctionIds>
        <we:customFunctionIds>BC.EXPANDTABLERANGE</we:customFunctionIds>
        <we:customFunctionIds>BC.TABLEDEFINITION</we:customFunctionIds>
        <we:customFunctionIds>SI.ACCOUNTNAME</we:customFunctionIds>
        <we:customFunctionIds>SI.ADJCREDITS</we:customFunctionIds>
        <we:customFunctionIds>SI.ADJDEBITS</we:customFunctionIds>
        <we:customFunctionIds>SI.BUDGETABLEPERIODBYDATE</we:customFunctionIds>
        <we:customFunctionIds>SI.BUDGETTURNOVER</we:customFunctionIds>
        <we:customFunctionIds>SI.WRITEBACKBUDGET</we:customFunctionIds>
        <we:customFunctionIds>SI.CLASSNAME</we:customFunctionIds>
        <we:customFunctionIds>SI.CLOSINGBALANCE</we:customFunctionIds>
        <we:customFunctionIds>SI.CONSOLIDATIONBOOKDESCRIPTION</we:customFunctionIds>
        <we:customFunctionIds>SI.COSTTYPENAME</we:customFunctionIds>
        <we:customFunctionIds>SI.CREDITS</we:customFunctionIds>
        <we:customFunctionIds>SI.CUSTOMERNAME</we:customFunctionIds>
        <we:customFunctionIds>SI.DEBITS</we:customFunctionIds>
        <we:customFunctionIds>SI.DEPARTMENTNAME</we:customFunctionIds>
        <we:customFunctionIds>SI.DIMENSIONS</we:customFunctionIds>
        <we:customFunctionIds>SI.UDDVALUEID</we:customFunctionIds>
        <we:customFunctionIds>SI.EMPLOYEENAME</we:customFunctionIds>
        <we:customFunctionIds>SI.EXPANDACCOUNTGROUPRANGE</we:customFunctionIds>
        <we:customFunctionIds>SI.EXPANDACCOUNTRANGE</we:customFunctionIds>
        <we:customFunctionIds>SI.EXPANDACCOUNTSINGROUP</we:customFunctionIds>
        <we:customFunctionIds>SI.EXPANDBUDGETRANGE</we:customFunctionIds>
        <we:customFunctionIds>SI.EXPANDCLASSESINGROUP</we:customFunctionIds>
        <we:customFunctionIds>SI.EXPANDCLASSGROUPRANGE</we:customFunctionIds>
        <we:customFunctionIds>SI.EXPANDCLASSRANGE</we:customFunctionIds>
        <we:customFunctionIds>SI.EXPANDCONTRACTSINGROUP</we:customFunctionIds>
        <we:customFunctionIds>SI.EXPANDCONTRACTGROUPRANGE</we:customFunctionIds>
        <we:customFunctionIds>SI.EXPANDCOSTTYPERANGE</we:customFunctionIds>
        <we:customFunctionIds>SI.EXPANDCUSTOMERSINGROUP</we:customFunctionIds>
        <we:customFunctionIds>SI.EXPANDCUSTOMERGROUPRANGE</we:customFunctionIds>
        <we:customFunctionIds>SI.EXPANDCUSTOMERRANGE</we:customFunctionIds>
        <we:customFunctionIds>SI.EXPANDDEPARTMENTSINGROUP</we:customFunctionIds>
        <we:customFunctionIds>SI.EXPANDDEPARTMENTGROUPRANGE</we:customFunctionIds>
        <we:customFunctionIds>SI.EXPANDDEPARTMENTRANGE</we:customFunctionIds>
        <we:customFunctionIds>SI.EXPANDEMPLOYEESINGROUP</we:customFunctionIds>
        <we:customFunctionIds>SI.EXPANDEMPLOYEEGROUPRANGE</we:customFunctionIds>
        <we:customFunctionIds>SI.EXPANDEMPLOYEERANGE</we:customFunctionIds>
        <we:customFunctionIds>SI.EXPANDCONSOLIDATIONBOOKRANGE</we:customFunctionIds>
        <we:customFunctionIds>SI.EXPANDGLHISTORY</we:customFunctionIds>
        <we:customFunctionIds>SI.EXPANDITEMSINGROUP</we:customFunctionIds>
        <we:customFunctionIds>SI.EXPANDITEMGROUPRANGE</we:customFunctionIds>
        <we:customFunctionIds>SI.EXPANDITEMRANGE</we:customFunctionIds>
        <we:customFunctionIds>SI.EXPANDLOCATIONSINGROUP</we:customFunctionIds>
        <we:customFunctionIds>SI.EXPANDLOCATIONGROUPRANGE</we:customFunctionIds>
        <we:customFunctionIds>SI.EXPANDLOCATIONRANGE</we:customFunctionIds>
        <we:customFunctionIds>SI.EXPANDOBJECTRANGE</we:customFunctionIds>
        <we:customFunctionIds>SI.EXPANDPROJECTESTIMATETYPERANGE</we:customFunctionIds>
        <we:customFunctionIds>SI.EXPANDPERIODRANGE</we:customFunctionIds>
        <we:customFunctionIds>SI.EXPANDPROJECTESTIMATERANGE</we:customFunctionIds>
        <we:customFunctionIds>SI.EXPANDPROJECTSINGROUP</we:customFunctionIds>
        <we:customFunctionIds>SI.EXPANDPROJECTGROUPRANGE</we:customFunctionIds>
        <we:customFunctionIds>SI.EXPANDPROJECTRANGE</we:customFunctionIds>
        <we:customFunctionIds>SI.EXPANDREPORTINGACCOUNTSET</we:customFunctionIds>
        <we:customFunctionIds>SI.EXPANDSTANDARDCOSTTYPERANGE</we:customFunctionIds>
        <we:customFunctionIds>SI.EXPANDSTANDARDTASKRANGE</we:customFunctionIds>
        <we:customFunctionIds>SI.EXPANDTASKRANGE</we:customFunctionIds>
        <we:customFunctionIds>SI.EXPANDTAXDETAILSRANGE</we:customFunctionIds>
        <we:customFunctionIds>SI.EXPANDTAXSOLUTIONRANGE</we:customFunctionIds>
        <we:customFunctionIds>SI.EXPANDUDDVALUERANGE</we:customFunctionIds>
        <we:customFunctionIds>SI.EXPANDUSERBOOKRANGE</we:customFunctionIds>
        <we:customFunctionIds>SI.EXPANDVENDORSINGROUP</we:customFunctionIds>
        <we:customFunctionIds>SI.EXPANDVENDORGROUPRANGE</we:customFunctionIds>
        <we:customFunctionIds>SI.EXPANDVENDORRANGE</we:customFunctionIds>
        <we:customFunctionIds>SI.EXPANDWAREHOUSESINGROUP</we:customFunctionIds>
        <we:customFunctionIds>SI.EXPANDWAREHOUSEGROUPRANGE</we:customFunctionIds>
        <we:customFunctionIds>SI.EXPANDWAREHOUSERANGE</we:customFunctionIds>
        <we:customFunctionIds>SI.WRITEBACK</we:customFunctionIds>
        <we:customFunctionIds>SI.ITEMNAME</we:customFunctionIds>
        <we:customFunctionIds>SI.WRITEBACKJOURNAL</we:customFunctionIds>
        <we:customFunctionIds>SI.LOCATIONNAME</we:customFunctionIds>
        <we:customFunctionIds>SI.OBJECTDEFINITION</we:customFunctionIds>
        <we:customFunctionIds>SI.OPENINGBALANCE</we:customFunctionIds>
        <we:customFunctionIds>SI.PERIODENDDATE</we:customFunctionIds>
        <we:customFunctionIds>SI.PERIODSTARTDATE</we:customFunctionIds>
        <we:customFunctionIds>SI.PROJECTENDDATE</we:customFunctionIds>
        <we:customFunctionIds>SI.PROJECTESTIMATEAMOUNT</we:customFunctionIds>
        <we:customFunctionIds>SI.PROJECTESTIMATEDESCRIPTION</we:customFunctionIds>
        <we:customFunctionIds>SI.PROJECTESTIMATEQUANTITY</we:customFunctionIds>
        <we:customFunctionIds>SI.WRITEBACKPROJECTESTIMATE</we:customFunctionIds>
        <we:customFunctionIds>SI.PROJECTNAME</we:customFunctionIds>
        <we:customFunctionIds>SI.PROJECTSTARTDATE</we:customFunctionIds>
        <we:customFunctionIds>SI.PROJECTSTATUS</we:customFunctionIds>
        <we:customFunctionIds>SI.QUERY</we:customFunctionIds>
        <we:customFunctionIds>SI.XQUERY</we:customFunctionIds>
        <we:customFunctionIds>SI.QUERYFILTER</we:customFunctionIds>
        <we:customFunctionIds>SI.XQUERYFILTER</we:customFunctionIds>
        <we:customFunctionIds>SI.QUERYLOOKUP</we:customFunctionIds>
        <we:customFunctionIds>SI.XQUERYLOOKUP</we:customFunctionIds>
        <we:customFunctionIds>SI.TRANSACTIONDRILLDOWN</we:customFunctionIds>
        <we:customFunctionIds>SI.TASKNAME</we:customFunctionIds>
        <we:customFunctionIds>SI.TAXRATE</we:customFunctionIds>
        <we:customFunctionIds>SI.TURNOVER</we:customFunctionIds>
        <we:customFunctionIds>SI.USERBOOKDESCRIPTION</we:customFunctionIds>
        <we:customFunctionIds>SI.VENDORNAME</we:customFunctionIds>
        <we:customFunctionIds>SI.WAREHOUSENAME</we:customFunctionIds>
        <we:customFunctionIds>SI.GETATTACHMENTS</we:customFunctionIds>
        <we:customFunctionIds>SI.GETATTACHMENTSBYID</we:customFunctionIds>
        <we:customFunctionIds>SI.WRITEBACKWIP</we:customFunctionIds>
        <we:customFunctionIds>SI.XEXPANDOBJECTRANGE</we:customFunctionIds>
        <we:customFunctionIds>SI.XOBJECTDEFINITION</we:customFunctionIds>
        <we:customFunctionIds>STACK.EXPANDCOSTTYPERANGE</we:customFunctionIds>
        <we:customFunctionIds>STACK.EXPANDLABELRANGE</we:customFunctionIds>
        <we:customFunctionIds>STACK.EXPANDLABELVALUERANGE</we:customFunctionIds>
        <we:customFunctionIds>STACK.EXPANDPLANRANGE</we:customFunctionIds>
        <we:customFunctionIds>STACK.EXPANDPROJECTRANGE</we:customFunctionIds>
        <we:customFunctionIds>STACK.EXPANDPROJECTSTATUSRANGE</we:customFunctionIds>
        <we:customFunctionIds>STACK.EXPANDTAGRANGE</we:customFunctionIds>
        <we:customFunctionIds>STACK.EXPANDTAGVALUERANGE</we:customFunctionIds>
        <we:customFunctionIds>STACK.EXPANDTAKEOFFLABELVALUES</we:customFunctionIds>
        <we:customFunctionIds>STACK.EXPANDTAKEOFFRANGE</we:customFunctionIds>
        <we:customFunctionIds>STACK.EXPANDTAKEOFFTAGVALUES</we:customFunctionIds>
        <we:customFunctionIds>STACK.EXPANDUNITRANGE</we:customFunctionIds>
        <we:customFunctionIds>STACK.ITEMCOSTREPORT</we:customFunctionIds>
        <we:customFunctionIds>STACK.PROJECTBIDDATE</we:customFunctionIds>
        <we:customFunctionIds>STACK.PROJECTCREATIONDATE</we:customFunctionIds>
        <we:customFunctionIds>STACK.PROJECTNOTES</we:customFunctionIds>
        <we:customFunctionIds>STACK.PROJECTSTATUS</we:customFunctionIds>
        <we:customFunctionIds>STACK.TAKEOFFDESCRIPTION</we:customFunctionIds>
        <we:customFunctionIds>STACK.TAKEOFFPRIMARYUNIT</we:customFunctionIds>
        <we:customFunctionIds>STACK.TAKEOFFQUANTITY</we:customFunctionIds>
        <we:customFunctionIds>STACK.TAKEOFFREPORT</we:customFunctionIds>
        <we:customFunctionIds>COLLATE</we:customFunctionIds>
        <we:customFunctionIds>CONNECTIONINFO</we:customFunctionIds>
        <we:customFunctionIds>EXPANDCONNECTIONRANGE</we:customFunctionIds>
        <we:customFunctionIds>VXTEXTSPLIT</we:customFunctionIds>
        <we:customFunctionIds>UNIQUEBYPATTERN</we:customFunctionIds>
        <we:customFunctionIds>VELIXOVERSION</we:customFunctionIds>
        <we:customFunctionIds>VX.ASK</we:customFunctionIds>
        <we:customFunctionIds>TOTABLE</we:customFunctionIds>
        <we:customFunctionIds>TODAYNV</we:customFunctionIds>
        <we:customFunctionIds>NOWNV</we:customFunctionIds>
        <we:customFunctionIds>VX.SETTINGS</we:customFunctionIds>
        <we:customFunctionIds>WRITEBACKCOMMIT</we:customFunctionIds>
        <we:customFunctionIds>WORKBOOKLASTREFRESHBY</we:customFunctionIds>
        <we:customFunctionIds>WORKBOOKLASTREFRESHDATE</we:customFunctionIds>
      </we:customFunctionIdList>
    </a:ext>
    <a:ext xmlns:a="http://schemas.openxmlformats.org/drawingml/2006/main" uri="{0858819E-0033-43BF-8937-05EC82904868}">
      <we:backgroundApp state="1" runtimeId="VelixoReportsAddin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C08AA-1E1D-47D4-A2FF-5C1844E99FC9}">
  <dimension ref="A1:J90"/>
  <sheetViews>
    <sheetView tabSelected="1" topLeftCell="A5" zoomScale="205" zoomScaleNormal="205" workbookViewId="0">
      <selection activeCell="B10" sqref="B10"/>
    </sheetView>
  </sheetViews>
  <sheetFormatPr defaultColWidth="44.7109375" defaultRowHeight="15" x14ac:dyDescent="0.25"/>
  <cols>
    <col min="1" max="1" width="28.28515625" customWidth="1"/>
  </cols>
  <sheetData>
    <row r="1" spans="1:10" ht="15.75" hidden="1" x14ac:dyDescent="0.25">
      <c r="A1" s="1" t="s">
        <v>0</v>
      </c>
    </row>
    <row r="2" spans="1:10" hidden="1" x14ac:dyDescent="0.25">
      <c r="A2" t="s">
        <v>3</v>
      </c>
    </row>
    <row r="3" spans="1:10" hidden="1" x14ac:dyDescent="0.25">
      <c r="A3" t="s">
        <v>4</v>
      </c>
    </row>
    <row r="4" spans="1:10" hidden="1" x14ac:dyDescent="0.25">
      <c r="A4" t="str" cm="1">
        <f t="array" ref="A4">_xll.GIFILTER(A1,A2,"Date","&gt;="&amp;TEXT(M6,"yyyy-mm-dd"),"Date","&lt;="&amp;TEXT(M7,"yyyy-mm-dd"))</f>
        <v>Date ge null and Date le null</v>
      </c>
    </row>
    <row r="5" spans="1:10" ht="18.75" x14ac:dyDescent="0.3">
      <c r="A5" s="2" t="s">
        <v>8</v>
      </c>
    </row>
    <row r="6" spans="1:10" x14ac:dyDescent="0.25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</row>
    <row r="7" spans="1:10" x14ac:dyDescent="0.25">
      <c r="A7" t="str" cm="1">
        <f t="array" ref="A7:J90">_xll.GI(A1,A2,"",A3,FALSE)</f>
        <v>SGG</v>
      </c>
      <c r="B7" vm="1">
        <v>46281</v>
      </c>
      <c r="C7" t="str">
        <v>32683323</v>
      </c>
      <c r="D7" t="str">
        <v>AR0045380</v>
      </c>
      <c r="E7" t="str">
        <v>002129</v>
      </c>
      <c r="F7" t="str">
        <v>J.C.PENNEY CORP. (058)</v>
      </c>
      <c r="G7">
        <v>-20.399999999999999</v>
      </c>
      <c r="H7" t="str">
        <v>JWLRY-FG-RS-CRD</v>
      </c>
      <c r="I7" t="str">
        <v>BBY601056013010</v>
      </c>
      <c r="J7">
        <v>2</v>
      </c>
    </row>
    <row r="8" spans="1:10" x14ac:dyDescent="0.25">
      <c r="A8" t="str">
        <v>SGG</v>
      </c>
      <c r="B8" vm="1">
        <v>46281</v>
      </c>
      <c r="C8" t="str">
        <v>32683323</v>
      </c>
      <c r="D8" t="str">
        <v>AR0045380</v>
      </c>
      <c r="E8" t="str">
        <v>002129</v>
      </c>
      <c r="F8" t="str">
        <v>J.C.PENNEY CORP. (058)</v>
      </c>
      <c r="G8">
        <v>-19</v>
      </c>
      <c r="H8" t="str">
        <v>JWLRY-FG-STC-CRD</v>
      </c>
      <c r="I8" t="str">
        <v>BBM521913013010</v>
      </c>
      <c r="J8">
        <v>2</v>
      </c>
    </row>
    <row r="9" spans="1:10" x14ac:dyDescent="0.25">
      <c r="A9" t="str">
        <v>SGG</v>
      </c>
      <c r="B9" vm="1">
        <v>46281</v>
      </c>
      <c r="C9" t="str">
        <v>32683323</v>
      </c>
      <c r="D9" t="str">
        <v>AR0045380</v>
      </c>
      <c r="E9" t="str">
        <v>002129</v>
      </c>
      <c r="F9" t="str">
        <v>J.C.PENNEY CORP. (058)</v>
      </c>
      <c r="G9">
        <v>-20.399999999999999</v>
      </c>
      <c r="H9" t="str">
        <v>JWLRY-FG-STC-CRD</v>
      </c>
      <c r="I9" t="str">
        <v>BBY601055013010</v>
      </c>
      <c r="J9">
        <v>2</v>
      </c>
    </row>
    <row r="10" spans="1:10" x14ac:dyDescent="0.25">
      <c r="A10" t="str">
        <v>SGG</v>
      </c>
      <c r="B10" vm="1">
        <v>46281</v>
      </c>
      <c r="C10" t="str">
        <v>32683323</v>
      </c>
      <c r="D10" t="str">
        <v>AR0045380</v>
      </c>
      <c r="E10" t="str">
        <v>002129</v>
      </c>
      <c r="F10" t="str">
        <v>J.C.PENNEY CORP. (058)</v>
      </c>
      <c r="G10">
        <v>-20.399999999999999</v>
      </c>
      <c r="H10" t="str">
        <v>JWLRY-FG-STC-CRD</v>
      </c>
      <c r="I10" t="str">
        <v>BBY601057013010</v>
      </c>
      <c r="J10">
        <v>2</v>
      </c>
    </row>
    <row r="11" spans="1:10" x14ac:dyDescent="0.25">
      <c r="A11" t="str">
        <v>SGG</v>
      </c>
      <c r="B11" vm="1">
        <v>46281</v>
      </c>
      <c r="C11" t="str">
        <v>32683323</v>
      </c>
      <c r="D11" t="str">
        <v>AR0045380</v>
      </c>
      <c r="E11" t="str">
        <v>002129</v>
      </c>
      <c r="F11" t="str">
        <v>J.C.PENNEY CORP. (058)</v>
      </c>
      <c r="G11">
        <v>-19.18</v>
      </c>
      <c r="H11" t="str">
        <v>JWLRY-FG-STC-CRD</v>
      </c>
      <c r="I11" t="str">
        <v>BBM601014013010</v>
      </c>
      <c r="J11">
        <v>2</v>
      </c>
    </row>
    <row r="12" spans="1:10" x14ac:dyDescent="0.25">
      <c r="A12" t="str">
        <v>SGG</v>
      </c>
      <c r="B12" vm="1">
        <v>46281</v>
      </c>
      <c r="C12" t="str">
        <v>32683323</v>
      </c>
      <c r="D12" t="str">
        <v>AR0045380</v>
      </c>
      <c r="E12" t="str">
        <v>002129</v>
      </c>
      <c r="F12" t="str">
        <v>J.C.PENNEY CORP. (058)</v>
      </c>
      <c r="G12">
        <v>-20.399999999999999</v>
      </c>
      <c r="H12" t="str">
        <v>JWLRY-FG-STC-CRD</v>
      </c>
      <c r="I12" t="str">
        <v>BBM601013013010</v>
      </c>
      <c r="J12">
        <v>2</v>
      </c>
    </row>
    <row r="13" spans="1:10" x14ac:dyDescent="0.25">
      <c r="A13" t="str">
        <v>SGG</v>
      </c>
      <c r="B13" vm="1">
        <v>46281</v>
      </c>
      <c r="C13" t="str">
        <v>32683323</v>
      </c>
      <c r="D13" t="str">
        <v>AR0045380</v>
      </c>
      <c r="E13" t="str">
        <v>002129</v>
      </c>
      <c r="F13" t="str">
        <v>J.C.PENNEY CORP. (058)</v>
      </c>
      <c r="G13">
        <v>-18.5</v>
      </c>
      <c r="H13" t="str">
        <v>JWLRY-FG-STC-CRD</v>
      </c>
      <c r="I13" t="str">
        <v>BBM521906013010</v>
      </c>
      <c r="J13">
        <v>2</v>
      </c>
    </row>
    <row r="14" spans="1:10" x14ac:dyDescent="0.25">
      <c r="A14" t="str">
        <v>SGG</v>
      </c>
      <c r="B14" vm="1">
        <v>46281</v>
      </c>
      <c r="C14" t="str">
        <v>32683323</v>
      </c>
      <c r="D14" t="str">
        <v>AR0045380</v>
      </c>
      <c r="E14" t="str">
        <v>002129</v>
      </c>
      <c r="F14" t="str">
        <v>J.C.PENNEY CORP. (058)</v>
      </c>
      <c r="G14">
        <v>-20.399999999999999</v>
      </c>
      <c r="H14" t="str">
        <v>JWLRY-FG-RS-CRD</v>
      </c>
      <c r="I14" t="str">
        <v>BBY601056013010</v>
      </c>
      <c r="J14">
        <v>2</v>
      </c>
    </row>
    <row r="15" spans="1:10" x14ac:dyDescent="0.25">
      <c r="A15" t="str">
        <v>SGG</v>
      </c>
      <c r="B15" vm="1">
        <v>46281</v>
      </c>
      <c r="C15" t="str">
        <v>32683323</v>
      </c>
      <c r="D15" t="str">
        <v>AR0045380</v>
      </c>
      <c r="E15" t="str">
        <v>002129</v>
      </c>
      <c r="F15" t="str">
        <v>J.C.PENNEY CORP. (058)</v>
      </c>
      <c r="G15">
        <v>-19</v>
      </c>
      <c r="H15" t="str">
        <v>JWLRY-FG-STC-CRD</v>
      </c>
      <c r="I15" t="str">
        <v>BBM521913013010</v>
      </c>
      <c r="J15">
        <v>2</v>
      </c>
    </row>
    <row r="16" spans="1:10" x14ac:dyDescent="0.25">
      <c r="A16" t="str">
        <v>SGG</v>
      </c>
      <c r="B16" vm="1">
        <v>46281</v>
      </c>
      <c r="C16" t="str">
        <v>32683323</v>
      </c>
      <c r="D16" t="str">
        <v>AR0045380</v>
      </c>
      <c r="E16" t="str">
        <v>002129</v>
      </c>
      <c r="F16" t="str">
        <v>J.C.PENNEY CORP. (058)</v>
      </c>
      <c r="G16">
        <v>-20.399999999999999</v>
      </c>
      <c r="H16" t="str">
        <v>JWLRY-FG-STC-CRD</v>
      </c>
      <c r="I16" t="str">
        <v>BBY601055013010</v>
      </c>
      <c r="J16">
        <v>2</v>
      </c>
    </row>
    <row r="17" spans="1:10" x14ac:dyDescent="0.25">
      <c r="A17" t="str">
        <v>SGG</v>
      </c>
      <c r="B17" vm="1">
        <v>46281</v>
      </c>
      <c r="C17" t="str">
        <v>32683323</v>
      </c>
      <c r="D17" t="str">
        <v>AR0045380</v>
      </c>
      <c r="E17" t="str">
        <v>002129</v>
      </c>
      <c r="F17" t="str">
        <v>J.C.PENNEY CORP. (058)</v>
      </c>
      <c r="G17">
        <v>-20.399999999999999</v>
      </c>
      <c r="H17" t="str">
        <v>JWLRY-FG-STC-CRD</v>
      </c>
      <c r="I17" t="str">
        <v>BBY601057013010</v>
      </c>
      <c r="J17">
        <v>2</v>
      </c>
    </row>
    <row r="18" spans="1:10" x14ac:dyDescent="0.25">
      <c r="A18" t="str">
        <v>SGG</v>
      </c>
      <c r="B18" vm="1">
        <v>46281</v>
      </c>
      <c r="C18" t="str">
        <v>32683323</v>
      </c>
      <c r="D18" t="str">
        <v>AR0045380</v>
      </c>
      <c r="E18" t="str">
        <v>002129</v>
      </c>
      <c r="F18" t="str">
        <v>J.C.PENNEY CORP. (058)</v>
      </c>
      <c r="G18">
        <v>-19.18</v>
      </c>
      <c r="H18" t="str">
        <v>JWLRY-FG-STC-CRD</v>
      </c>
      <c r="I18" t="str">
        <v>BBM601014013010</v>
      </c>
      <c r="J18">
        <v>2</v>
      </c>
    </row>
    <row r="19" spans="1:10" x14ac:dyDescent="0.25">
      <c r="A19" t="str">
        <v>SGG</v>
      </c>
      <c r="B19" vm="1">
        <v>46281</v>
      </c>
      <c r="C19" t="str">
        <v>32683323</v>
      </c>
      <c r="D19" t="str">
        <v>AR0045380</v>
      </c>
      <c r="E19" t="str">
        <v>002129</v>
      </c>
      <c r="F19" t="str">
        <v>J.C.PENNEY CORP. (058)</v>
      </c>
      <c r="G19">
        <v>-20.399999999999999</v>
      </c>
      <c r="H19" t="str">
        <v>JWLRY-FG-STC-CRD</v>
      </c>
      <c r="I19" t="str">
        <v>BBM601013013010</v>
      </c>
      <c r="J19">
        <v>2</v>
      </c>
    </row>
    <row r="20" spans="1:10" x14ac:dyDescent="0.25">
      <c r="A20" t="str">
        <v>SGG</v>
      </c>
      <c r="B20" vm="1">
        <v>46281</v>
      </c>
      <c r="C20" t="str">
        <v>32683323</v>
      </c>
      <c r="D20" t="str">
        <v>AR0045380</v>
      </c>
      <c r="E20" t="str">
        <v>002129</v>
      </c>
      <c r="F20" t="str">
        <v>J.C.PENNEY CORP. (058)</v>
      </c>
      <c r="G20">
        <v>-18.5</v>
      </c>
      <c r="H20" t="str">
        <v>JWLRY-FG-STC-CRD</v>
      </c>
      <c r="I20" t="str">
        <v>BBM521906013010</v>
      </c>
      <c r="J20">
        <v>2</v>
      </c>
    </row>
    <row r="21" spans="1:10" x14ac:dyDescent="0.25">
      <c r="A21" t="str">
        <v>SGG</v>
      </c>
      <c r="B21" vm="1">
        <v>46281</v>
      </c>
      <c r="C21" t="str">
        <v>32683323</v>
      </c>
      <c r="D21" t="str">
        <v>AR0045380</v>
      </c>
      <c r="E21" t="str">
        <v>002129</v>
      </c>
      <c r="F21" t="str">
        <v>J.C.PENNEY CORP. (058)</v>
      </c>
      <c r="G21">
        <v>-30.6</v>
      </c>
      <c r="H21" t="str">
        <v>JWLRY-FG-RS-CRD</v>
      </c>
      <c r="I21" t="str">
        <v>BBY601056013010</v>
      </c>
      <c r="J21">
        <v>3</v>
      </c>
    </row>
    <row r="22" spans="1:10" x14ac:dyDescent="0.25">
      <c r="A22" t="str">
        <v>SGG</v>
      </c>
      <c r="B22" vm="1">
        <v>46281</v>
      </c>
      <c r="C22" t="str">
        <v>32683323</v>
      </c>
      <c r="D22" t="str">
        <v>AR0045380</v>
      </c>
      <c r="E22" t="str">
        <v>002129</v>
      </c>
      <c r="F22" t="str">
        <v>J.C.PENNEY CORP. (058)</v>
      </c>
      <c r="G22">
        <v>-19</v>
      </c>
      <c r="H22" t="str">
        <v>JWLRY-FG-STC-CRD</v>
      </c>
      <c r="I22" t="str">
        <v>BBM521913013010</v>
      </c>
      <c r="J22">
        <v>2</v>
      </c>
    </row>
    <row r="23" spans="1:10" x14ac:dyDescent="0.25">
      <c r="A23" t="str">
        <v>SGG</v>
      </c>
      <c r="B23" vm="1">
        <v>46281</v>
      </c>
      <c r="C23" t="str">
        <v>32683323</v>
      </c>
      <c r="D23" t="str">
        <v>AR0045380</v>
      </c>
      <c r="E23" t="str">
        <v>002129</v>
      </c>
      <c r="F23" t="str">
        <v>J.C.PENNEY CORP. (058)</v>
      </c>
      <c r="G23">
        <v>-20.399999999999999</v>
      </c>
      <c r="H23" t="str">
        <v>JWLRY-FG-STC-CRD</v>
      </c>
      <c r="I23" t="str">
        <v>BBY601055013010</v>
      </c>
      <c r="J23">
        <v>2</v>
      </c>
    </row>
    <row r="24" spans="1:10" x14ac:dyDescent="0.25">
      <c r="A24" t="str">
        <v>SGG</v>
      </c>
      <c r="B24" vm="1">
        <v>46281</v>
      </c>
      <c r="C24" t="str">
        <v>32683323</v>
      </c>
      <c r="D24" t="str">
        <v>AR0045380</v>
      </c>
      <c r="E24" t="str">
        <v>002129</v>
      </c>
      <c r="F24" t="str">
        <v>J.C.PENNEY CORP. (058)</v>
      </c>
      <c r="G24">
        <v>-20.399999999999999</v>
      </c>
      <c r="H24" t="str">
        <v>JWLRY-FG-STC-CRD</v>
      </c>
      <c r="I24" t="str">
        <v>BBY601057013010</v>
      </c>
      <c r="J24">
        <v>2</v>
      </c>
    </row>
    <row r="25" spans="1:10" x14ac:dyDescent="0.25">
      <c r="A25" t="str">
        <v>SGG</v>
      </c>
      <c r="B25" vm="1">
        <v>46281</v>
      </c>
      <c r="C25" t="str">
        <v>32683323</v>
      </c>
      <c r="D25" t="str">
        <v>AR0045380</v>
      </c>
      <c r="E25" t="str">
        <v>002129</v>
      </c>
      <c r="F25" t="str">
        <v>J.C.PENNEY CORP. (058)</v>
      </c>
      <c r="G25">
        <v>-28.77</v>
      </c>
      <c r="H25" t="str">
        <v>JWLRY-FG-STC-CRD</v>
      </c>
      <c r="I25" t="str">
        <v>BBM601014013010</v>
      </c>
      <c r="J25">
        <v>3</v>
      </c>
    </row>
    <row r="26" spans="1:10" x14ac:dyDescent="0.25">
      <c r="A26" t="str">
        <v>SGG</v>
      </c>
      <c r="B26" vm="1">
        <v>46281</v>
      </c>
      <c r="C26" t="str">
        <v>32683323</v>
      </c>
      <c r="D26" t="str">
        <v>AR0045380</v>
      </c>
      <c r="E26" t="str">
        <v>002129</v>
      </c>
      <c r="F26" t="str">
        <v>J.C.PENNEY CORP. (058)</v>
      </c>
      <c r="G26">
        <v>-20.399999999999999</v>
      </c>
      <c r="H26" t="str">
        <v>JWLRY-FG-STC-CRD</v>
      </c>
      <c r="I26" t="str">
        <v>BBM601013013010</v>
      </c>
      <c r="J26">
        <v>2</v>
      </c>
    </row>
    <row r="27" spans="1:10" x14ac:dyDescent="0.25">
      <c r="A27" t="str">
        <v>SGG</v>
      </c>
      <c r="B27" vm="1">
        <v>46281</v>
      </c>
      <c r="C27" t="str">
        <v>32683323</v>
      </c>
      <c r="D27" t="str">
        <v>AR0045380</v>
      </c>
      <c r="E27" t="str">
        <v>002129</v>
      </c>
      <c r="F27" t="str">
        <v>J.C.PENNEY CORP. (058)</v>
      </c>
      <c r="G27">
        <v>-27.75</v>
      </c>
      <c r="H27" t="str">
        <v>JWLRY-FG-STC-CRD</v>
      </c>
      <c r="I27" t="str">
        <v>BBM521906013010</v>
      </c>
      <c r="J27">
        <v>3</v>
      </c>
    </row>
    <row r="28" spans="1:10" x14ac:dyDescent="0.25">
      <c r="A28" t="str">
        <v>SGG</v>
      </c>
      <c r="B28" vm="2">
        <v>46288</v>
      </c>
      <c r="C28" t="str">
        <v/>
      </c>
      <c r="D28" t="str">
        <v>AR0045383</v>
      </c>
      <c r="E28" t="str">
        <v>002129</v>
      </c>
      <c r="F28" t="str">
        <v>J.C.PENNEY CORP. (058)</v>
      </c>
      <c r="G28">
        <v>-18.5</v>
      </c>
      <c r="H28" t="str">
        <v>JWLRY-FG-STC-CRD</v>
      </c>
      <c r="I28" t="str">
        <v>BBM521906013010</v>
      </c>
      <c r="J28">
        <v>2</v>
      </c>
    </row>
    <row r="29" spans="1:10" x14ac:dyDescent="0.25">
      <c r="A29" t="str">
        <v>SGG</v>
      </c>
      <c r="B29" vm="2">
        <v>46288</v>
      </c>
      <c r="C29" t="str">
        <v/>
      </c>
      <c r="D29" t="str">
        <v>AR0045383</v>
      </c>
      <c r="E29" t="str">
        <v>002129</v>
      </c>
      <c r="F29" t="str">
        <v>J.C.PENNEY CORP. (058)</v>
      </c>
      <c r="G29">
        <v>-18.5</v>
      </c>
      <c r="H29" t="str">
        <v>JWLRY-FG-STC-CRD</v>
      </c>
      <c r="I29" t="str">
        <v>BBM521906013010</v>
      </c>
      <c r="J29">
        <v>2</v>
      </c>
    </row>
    <row r="30" spans="1:10" x14ac:dyDescent="0.25">
      <c r="A30" t="str">
        <v>SGG</v>
      </c>
      <c r="B30" vm="2">
        <v>46288</v>
      </c>
      <c r="C30" t="str">
        <v/>
      </c>
      <c r="D30" t="str">
        <v>AR0045383</v>
      </c>
      <c r="E30" t="str">
        <v>002129</v>
      </c>
      <c r="F30" t="str">
        <v>J.C.PENNEY CORP. (058)</v>
      </c>
      <c r="G30">
        <v>-27.75</v>
      </c>
      <c r="H30" t="str">
        <v>JWLRY-FG-STC-CRD</v>
      </c>
      <c r="I30" t="str">
        <v>BBM521906013010</v>
      </c>
      <c r="J30">
        <v>3</v>
      </c>
    </row>
    <row r="31" spans="1:10" x14ac:dyDescent="0.25">
      <c r="A31" t="str">
        <v>SGG</v>
      </c>
      <c r="B31" vm="2">
        <v>46288</v>
      </c>
      <c r="C31" t="str">
        <v/>
      </c>
      <c r="D31" t="str">
        <v>AR0045383</v>
      </c>
      <c r="E31" t="str">
        <v>002129</v>
      </c>
      <c r="F31" t="str">
        <v>J.C.PENNEY CORP. (058)</v>
      </c>
      <c r="G31">
        <v>-19</v>
      </c>
      <c r="H31" t="str">
        <v>JWLRY-FG-STC-CRD</v>
      </c>
      <c r="I31" t="str">
        <v>BBM521913013010</v>
      </c>
      <c r="J31">
        <v>2</v>
      </c>
    </row>
    <row r="32" spans="1:10" x14ac:dyDescent="0.25">
      <c r="A32" t="str">
        <v>SGG</v>
      </c>
      <c r="B32" vm="2">
        <v>46288</v>
      </c>
      <c r="C32" t="str">
        <v/>
      </c>
      <c r="D32" t="str">
        <v>AR0045383</v>
      </c>
      <c r="E32" t="str">
        <v>002129</v>
      </c>
      <c r="F32" t="str">
        <v>J.C.PENNEY CORP. (058)</v>
      </c>
      <c r="G32">
        <v>-19</v>
      </c>
      <c r="H32" t="str">
        <v>JWLRY-FG-STC-CRD</v>
      </c>
      <c r="I32" t="str">
        <v>BBM521913013010</v>
      </c>
      <c r="J32">
        <v>2</v>
      </c>
    </row>
    <row r="33" spans="1:10" x14ac:dyDescent="0.25">
      <c r="A33" t="str">
        <v>SGG</v>
      </c>
      <c r="B33" vm="2">
        <v>46288</v>
      </c>
      <c r="C33" t="str">
        <v/>
      </c>
      <c r="D33" t="str">
        <v>AR0045383</v>
      </c>
      <c r="E33" t="str">
        <v>002129</v>
      </c>
      <c r="F33" t="str">
        <v>J.C.PENNEY CORP. (058)</v>
      </c>
      <c r="G33">
        <v>-19</v>
      </c>
      <c r="H33" t="str">
        <v>JWLRY-FG-STC-CRD</v>
      </c>
      <c r="I33" t="str">
        <v>BBM521913013010</v>
      </c>
      <c r="J33">
        <v>2</v>
      </c>
    </row>
    <row r="34" spans="1:10" x14ac:dyDescent="0.25">
      <c r="A34" t="str">
        <v>SGG</v>
      </c>
      <c r="B34" vm="2">
        <v>46288</v>
      </c>
      <c r="C34" t="str">
        <v/>
      </c>
      <c r="D34" t="str">
        <v>AR0045383</v>
      </c>
      <c r="E34" t="str">
        <v>002129</v>
      </c>
      <c r="F34" t="str">
        <v>J.C.PENNEY CORP. (058)</v>
      </c>
      <c r="G34">
        <v>-20.399999999999999</v>
      </c>
      <c r="H34" t="str">
        <v>JWLRY-FG-STC-CRD</v>
      </c>
      <c r="I34" t="str">
        <v>BBM601013013010</v>
      </c>
      <c r="J34">
        <v>2</v>
      </c>
    </row>
    <row r="35" spans="1:10" x14ac:dyDescent="0.25">
      <c r="A35" t="str">
        <v>SGG</v>
      </c>
      <c r="B35" vm="2">
        <v>46288</v>
      </c>
      <c r="C35" t="str">
        <v/>
      </c>
      <c r="D35" t="str">
        <v>AR0045383</v>
      </c>
      <c r="E35" t="str">
        <v>002129</v>
      </c>
      <c r="F35" t="str">
        <v>J.C.PENNEY CORP. (058)</v>
      </c>
      <c r="G35">
        <v>-20.399999999999999</v>
      </c>
      <c r="H35" t="str">
        <v>JWLRY-FG-STC-CRD</v>
      </c>
      <c r="I35" t="str">
        <v>BBM601013013010</v>
      </c>
      <c r="J35">
        <v>2</v>
      </c>
    </row>
    <row r="36" spans="1:10" x14ac:dyDescent="0.25">
      <c r="A36" t="str">
        <v>SGG</v>
      </c>
      <c r="B36" vm="2">
        <v>46288</v>
      </c>
      <c r="C36" t="str">
        <v/>
      </c>
      <c r="D36" t="str">
        <v>AR0045383</v>
      </c>
      <c r="E36" t="str">
        <v>002129</v>
      </c>
      <c r="F36" t="str">
        <v>J.C.PENNEY CORP. (058)</v>
      </c>
      <c r="G36">
        <v>-20.399999999999999</v>
      </c>
      <c r="H36" t="str">
        <v>JWLRY-FG-STC-CRD</v>
      </c>
      <c r="I36" t="str">
        <v>BBM601013013010</v>
      </c>
      <c r="J36">
        <v>2</v>
      </c>
    </row>
    <row r="37" spans="1:10" x14ac:dyDescent="0.25">
      <c r="A37" t="str">
        <v>SGG</v>
      </c>
      <c r="B37" vm="2">
        <v>46288</v>
      </c>
      <c r="C37" t="str">
        <v/>
      </c>
      <c r="D37" t="str">
        <v>AR0045383</v>
      </c>
      <c r="E37" t="str">
        <v>002129</v>
      </c>
      <c r="F37" t="str">
        <v>J.C.PENNEY CORP. (058)</v>
      </c>
      <c r="G37">
        <v>-19.18</v>
      </c>
      <c r="H37" t="str">
        <v>JWLRY-FG-STC-CRD</v>
      </c>
      <c r="I37" t="str">
        <v>BBM601014013010</v>
      </c>
      <c r="J37">
        <v>2</v>
      </c>
    </row>
    <row r="38" spans="1:10" x14ac:dyDescent="0.25">
      <c r="A38" t="str">
        <v>SGG</v>
      </c>
      <c r="B38" vm="2">
        <v>46288</v>
      </c>
      <c r="C38" t="str">
        <v/>
      </c>
      <c r="D38" t="str">
        <v>AR0045383</v>
      </c>
      <c r="E38" t="str">
        <v>002129</v>
      </c>
      <c r="F38" t="str">
        <v>J.C.PENNEY CORP. (058)</v>
      </c>
      <c r="G38">
        <v>-19.18</v>
      </c>
      <c r="H38" t="str">
        <v>JWLRY-FG-STC-CRD</v>
      </c>
      <c r="I38" t="str">
        <v>BBM601014013010</v>
      </c>
      <c r="J38">
        <v>2</v>
      </c>
    </row>
    <row r="39" spans="1:10" x14ac:dyDescent="0.25">
      <c r="A39" t="str">
        <v>SGG</v>
      </c>
      <c r="B39" vm="2">
        <v>46288</v>
      </c>
      <c r="C39" t="str">
        <v/>
      </c>
      <c r="D39" t="str">
        <v>AR0045383</v>
      </c>
      <c r="E39" t="str">
        <v>002129</v>
      </c>
      <c r="F39" t="str">
        <v>J.C.PENNEY CORP. (058)</v>
      </c>
      <c r="G39">
        <v>-28.77</v>
      </c>
      <c r="H39" t="str">
        <v>JWLRY-FG-STC-CRD</v>
      </c>
      <c r="I39" t="str">
        <v>BBM601014013010</v>
      </c>
      <c r="J39">
        <v>3</v>
      </c>
    </row>
    <row r="40" spans="1:10" x14ac:dyDescent="0.25">
      <c r="A40" t="str">
        <v>SGG</v>
      </c>
      <c r="B40" vm="2">
        <v>46288</v>
      </c>
      <c r="C40" t="str">
        <v/>
      </c>
      <c r="D40" t="str">
        <v>AR0045383</v>
      </c>
      <c r="E40" t="str">
        <v>002129</v>
      </c>
      <c r="F40" t="str">
        <v>J.C.PENNEY CORP. (058)</v>
      </c>
      <c r="G40">
        <v>-20.399999999999999</v>
      </c>
      <c r="H40" t="str">
        <v>JWLRY-FG-STC-CRD</v>
      </c>
      <c r="I40" t="str">
        <v>BBY601055013010</v>
      </c>
      <c r="J40">
        <v>2</v>
      </c>
    </row>
    <row r="41" spans="1:10" x14ac:dyDescent="0.25">
      <c r="A41" t="str">
        <v>SGG</v>
      </c>
      <c r="B41" vm="2">
        <v>46288</v>
      </c>
      <c r="C41" t="str">
        <v/>
      </c>
      <c r="D41" t="str">
        <v>AR0045383</v>
      </c>
      <c r="E41" t="str">
        <v>002129</v>
      </c>
      <c r="F41" t="str">
        <v>J.C.PENNEY CORP. (058)</v>
      </c>
      <c r="G41">
        <v>-20.399999999999999</v>
      </c>
      <c r="H41" t="str">
        <v>JWLRY-FG-STC-CRD</v>
      </c>
      <c r="I41" t="str">
        <v>BBY601055013010</v>
      </c>
      <c r="J41">
        <v>2</v>
      </c>
    </row>
    <row r="42" spans="1:10" x14ac:dyDescent="0.25">
      <c r="A42" t="str">
        <v>SGG</v>
      </c>
      <c r="B42" vm="2">
        <v>46288</v>
      </c>
      <c r="C42" t="str">
        <v/>
      </c>
      <c r="D42" t="str">
        <v>AR0045383</v>
      </c>
      <c r="E42" t="str">
        <v>002129</v>
      </c>
      <c r="F42" t="str">
        <v>J.C.PENNEY CORP. (058)</v>
      </c>
      <c r="G42">
        <v>-20.399999999999999</v>
      </c>
      <c r="H42" t="str">
        <v>JWLRY-FG-STC-CRD</v>
      </c>
      <c r="I42" t="str">
        <v>BBY601055013010</v>
      </c>
      <c r="J42">
        <v>2</v>
      </c>
    </row>
    <row r="43" spans="1:10" x14ac:dyDescent="0.25">
      <c r="A43" t="str">
        <v>SGG</v>
      </c>
      <c r="B43" vm="2">
        <v>46288</v>
      </c>
      <c r="C43" t="str">
        <v/>
      </c>
      <c r="D43" t="str">
        <v>AR0045383</v>
      </c>
      <c r="E43" t="str">
        <v>002129</v>
      </c>
      <c r="F43" t="str">
        <v>J.C.PENNEY CORP. (058)</v>
      </c>
      <c r="G43">
        <v>-20.399999999999999</v>
      </c>
      <c r="H43" t="str">
        <v>JWLRY-FG-RS-CRD</v>
      </c>
      <c r="I43" t="str">
        <v>BBY601056013010</v>
      </c>
      <c r="J43">
        <v>2</v>
      </c>
    </row>
    <row r="44" spans="1:10" x14ac:dyDescent="0.25">
      <c r="A44" t="str">
        <v>SGG</v>
      </c>
      <c r="B44" vm="2">
        <v>46288</v>
      </c>
      <c r="C44" t="str">
        <v/>
      </c>
      <c r="D44" t="str">
        <v>AR0045383</v>
      </c>
      <c r="E44" t="str">
        <v>002129</v>
      </c>
      <c r="F44" t="str">
        <v>J.C.PENNEY CORP. (058)</v>
      </c>
      <c r="G44">
        <v>-20.399999999999999</v>
      </c>
      <c r="H44" t="str">
        <v>JWLRY-FG-RS-CRD</v>
      </c>
      <c r="I44" t="str">
        <v>BBY601056013010</v>
      </c>
      <c r="J44">
        <v>2</v>
      </c>
    </row>
    <row r="45" spans="1:10" x14ac:dyDescent="0.25">
      <c r="A45" t="str">
        <v>SGG</v>
      </c>
      <c r="B45" vm="2">
        <v>46288</v>
      </c>
      <c r="C45" t="str">
        <v/>
      </c>
      <c r="D45" t="str">
        <v>AR0045383</v>
      </c>
      <c r="E45" t="str">
        <v>002129</v>
      </c>
      <c r="F45" t="str">
        <v>J.C.PENNEY CORP. (058)</v>
      </c>
      <c r="G45">
        <v>-30.6</v>
      </c>
      <c r="H45" t="str">
        <v>JWLRY-FG-RS-CRD</v>
      </c>
      <c r="I45" t="str">
        <v>BBY601056013010</v>
      </c>
      <c r="J45">
        <v>3</v>
      </c>
    </row>
    <row r="46" spans="1:10" x14ac:dyDescent="0.25">
      <c r="A46" t="str">
        <v>SGG</v>
      </c>
      <c r="B46" vm="2">
        <v>46288</v>
      </c>
      <c r="C46" t="str">
        <v/>
      </c>
      <c r="D46" t="str">
        <v>AR0045383</v>
      </c>
      <c r="E46" t="str">
        <v>002129</v>
      </c>
      <c r="F46" t="str">
        <v>J.C.PENNEY CORP. (058)</v>
      </c>
      <c r="G46">
        <v>-20.399999999999999</v>
      </c>
      <c r="H46" t="str">
        <v>JWLRY-FG-STC-CRD</v>
      </c>
      <c r="I46" t="str">
        <v>BBY601057013010</v>
      </c>
      <c r="J46">
        <v>2</v>
      </c>
    </row>
    <row r="47" spans="1:10" x14ac:dyDescent="0.25">
      <c r="A47" t="str">
        <v>SGG</v>
      </c>
      <c r="B47" vm="2">
        <v>46288</v>
      </c>
      <c r="C47" t="str">
        <v/>
      </c>
      <c r="D47" t="str">
        <v>AR0045383</v>
      </c>
      <c r="E47" t="str">
        <v>002129</v>
      </c>
      <c r="F47" t="str">
        <v>J.C.PENNEY CORP. (058)</v>
      </c>
      <c r="G47">
        <v>-20.399999999999999</v>
      </c>
      <c r="H47" t="str">
        <v>JWLRY-FG-STC-CRD</v>
      </c>
      <c r="I47" t="str">
        <v>BBY601057013010</v>
      </c>
      <c r="J47">
        <v>2</v>
      </c>
    </row>
    <row r="48" spans="1:10" x14ac:dyDescent="0.25">
      <c r="A48" t="str">
        <v>SGG</v>
      </c>
      <c r="B48" vm="2">
        <v>46288</v>
      </c>
      <c r="C48" t="str">
        <v/>
      </c>
      <c r="D48" t="str">
        <v>AR0045383</v>
      </c>
      <c r="E48" t="str">
        <v>002129</v>
      </c>
      <c r="F48" t="str">
        <v>J.C.PENNEY CORP. (058)</v>
      </c>
      <c r="G48">
        <v>-20.399999999999999</v>
      </c>
      <c r="H48" t="str">
        <v>JWLRY-FG-STC-CRD</v>
      </c>
      <c r="I48" t="str">
        <v>BBY601057013010</v>
      </c>
      <c r="J48">
        <v>2</v>
      </c>
    </row>
    <row r="49" spans="1:10" x14ac:dyDescent="0.25">
      <c r="A49" t="str">
        <v>SGG</v>
      </c>
      <c r="B49" vm="1">
        <v>46281</v>
      </c>
      <c r="C49" t="str">
        <v>32683323</v>
      </c>
      <c r="D49" t="str">
        <v>AR0045378</v>
      </c>
      <c r="E49" t="str">
        <v>002129</v>
      </c>
      <c r="F49" t="str">
        <v>J.C.PENNEY CORP. (058)</v>
      </c>
      <c r="G49">
        <v>20.399999999999999</v>
      </c>
      <c r="H49" t="str">
        <v>JWLRY-FG-RS-CRD</v>
      </c>
      <c r="I49" t="str">
        <v>BBY601056013010</v>
      </c>
      <c r="J49">
        <v>2</v>
      </c>
    </row>
    <row r="50" spans="1:10" x14ac:dyDescent="0.25">
      <c r="A50" t="str">
        <v>SGG</v>
      </c>
      <c r="B50" vm="1">
        <v>46281</v>
      </c>
      <c r="C50" t="str">
        <v>32683323</v>
      </c>
      <c r="D50" t="str">
        <v>AR0045378</v>
      </c>
      <c r="E50" t="str">
        <v>002129</v>
      </c>
      <c r="F50" t="str">
        <v>J.C.PENNEY CORP. (058)</v>
      </c>
      <c r="G50">
        <v>19</v>
      </c>
      <c r="H50" t="str">
        <v>JWLRY-FG-STC-CRD</v>
      </c>
      <c r="I50" t="str">
        <v>BBM521913013010</v>
      </c>
      <c r="J50">
        <v>2</v>
      </c>
    </row>
    <row r="51" spans="1:10" x14ac:dyDescent="0.25">
      <c r="A51" t="str">
        <v>SGG</v>
      </c>
      <c r="B51" vm="1">
        <v>46281</v>
      </c>
      <c r="C51" t="str">
        <v>32683323</v>
      </c>
      <c r="D51" t="str">
        <v>AR0045378</v>
      </c>
      <c r="E51" t="str">
        <v>002129</v>
      </c>
      <c r="F51" t="str">
        <v>J.C.PENNEY CORP. (058)</v>
      </c>
      <c r="G51">
        <v>20.399999999999999</v>
      </c>
      <c r="H51" t="str">
        <v>JWLRY-FG-STC-CRD</v>
      </c>
      <c r="I51" t="str">
        <v>BBY601055013010</v>
      </c>
      <c r="J51">
        <v>2</v>
      </c>
    </row>
    <row r="52" spans="1:10" x14ac:dyDescent="0.25">
      <c r="A52" t="str">
        <v>SGG</v>
      </c>
      <c r="B52" vm="1">
        <v>46281</v>
      </c>
      <c r="C52" t="str">
        <v>32683323</v>
      </c>
      <c r="D52" t="str">
        <v>AR0045378</v>
      </c>
      <c r="E52" t="str">
        <v>002129</v>
      </c>
      <c r="F52" t="str">
        <v>J.C.PENNEY CORP. (058)</v>
      </c>
      <c r="G52">
        <v>20.399999999999999</v>
      </c>
      <c r="H52" t="str">
        <v>JWLRY-FG-STC-CRD</v>
      </c>
      <c r="I52" t="str">
        <v>BBY601057013010</v>
      </c>
      <c r="J52">
        <v>2</v>
      </c>
    </row>
    <row r="53" spans="1:10" x14ac:dyDescent="0.25">
      <c r="A53" t="str">
        <v>SGG</v>
      </c>
      <c r="B53" vm="1">
        <v>46281</v>
      </c>
      <c r="C53" t="str">
        <v>32683323</v>
      </c>
      <c r="D53" t="str">
        <v>AR0045378</v>
      </c>
      <c r="E53" t="str">
        <v>002129</v>
      </c>
      <c r="F53" t="str">
        <v>J.C.PENNEY CORP. (058)</v>
      </c>
      <c r="G53">
        <v>19.18</v>
      </c>
      <c r="H53" t="str">
        <v>JWLRY-FG-STC-CRD</v>
      </c>
      <c r="I53" t="str">
        <v>BBM601014013010</v>
      </c>
      <c r="J53">
        <v>2</v>
      </c>
    </row>
    <row r="54" spans="1:10" x14ac:dyDescent="0.25">
      <c r="A54" t="str">
        <v>SGG</v>
      </c>
      <c r="B54" vm="1">
        <v>46281</v>
      </c>
      <c r="C54" t="str">
        <v>32683323</v>
      </c>
      <c r="D54" t="str">
        <v>AR0045378</v>
      </c>
      <c r="E54" t="str">
        <v>002129</v>
      </c>
      <c r="F54" t="str">
        <v>J.C.PENNEY CORP. (058)</v>
      </c>
      <c r="G54">
        <v>20.399999999999999</v>
      </c>
      <c r="H54" t="str">
        <v>JWLRY-FG-STC-CRD</v>
      </c>
      <c r="I54" t="str">
        <v>BBM601013013010</v>
      </c>
      <c r="J54">
        <v>2</v>
      </c>
    </row>
    <row r="55" spans="1:10" x14ac:dyDescent="0.25">
      <c r="A55" t="str">
        <v>SGG</v>
      </c>
      <c r="B55" vm="1">
        <v>46281</v>
      </c>
      <c r="C55" t="str">
        <v>32683323</v>
      </c>
      <c r="D55" t="str">
        <v>AR0045378</v>
      </c>
      <c r="E55" t="str">
        <v>002129</v>
      </c>
      <c r="F55" t="str">
        <v>J.C.PENNEY CORP. (058)</v>
      </c>
      <c r="G55">
        <v>18.5</v>
      </c>
      <c r="H55" t="str">
        <v>JWLRY-FG-STC-CRD</v>
      </c>
      <c r="I55" t="str">
        <v>BBM521906013010</v>
      </c>
      <c r="J55">
        <v>2</v>
      </c>
    </row>
    <row r="56" spans="1:10" x14ac:dyDescent="0.25">
      <c r="A56" t="str">
        <v>SGG</v>
      </c>
      <c r="B56" vm="1">
        <v>46281</v>
      </c>
      <c r="C56" t="str">
        <v>32683323</v>
      </c>
      <c r="D56" t="str">
        <v>AR0045378</v>
      </c>
      <c r="E56" t="str">
        <v>002129</v>
      </c>
      <c r="F56" t="str">
        <v>J.C.PENNEY CORP. (058)</v>
      </c>
      <c r="G56">
        <v>20.399999999999999</v>
      </c>
      <c r="H56" t="str">
        <v>JWLRY-FG-RS-CRD</v>
      </c>
      <c r="I56" t="str">
        <v>BBY601056013010</v>
      </c>
      <c r="J56">
        <v>2</v>
      </c>
    </row>
    <row r="57" spans="1:10" x14ac:dyDescent="0.25">
      <c r="A57" t="str">
        <v>SGG</v>
      </c>
      <c r="B57" vm="1">
        <v>46281</v>
      </c>
      <c r="C57" t="str">
        <v>32683323</v>
      </c>
      <c r="D57" t="str">
        <v>AR0045378</v>
      </c>
      <c r="E57" t="str">
        <v>002129</v>
      </c>
      <c r="F57" t="str">
        <v>J.C.PENNEY CORP. (058)</v>
      </c>
      <c r="G57">
        <v>19</v>
      </c>
      <c r="H57" t="str">
        <v>JWLRY-FG-STC-CRD</v>
      </c>
      <c r="I57" t="str">
        <v>BBM521913013010</v>
      </c>
      <c r="J57">
        <v>2</v>
      </c>
    </row>
    <row r="58" spans="1:10" x14ac:dyDescent="0.25">
      <c r="A58" t="str">
        <v>SGG</v>
      </c>
      <c r="B58" vm="1">
        <v>46281</v>
      </c>
      <c r="C58" t="str">
        <v>32683323</v>
      </c>
      <c r="D58" t="str">
        <v>AR0045378</v>
      </c>
      <c r="E58" t="str">
        <v>002129</v>
      </c>
      <c r="F58" t="str">
        <v>J.C.PENNEY CORP. (058)</v>
      </c>
      <c r="G58">
        <v>20.399999999999999</v>
      </c>
      <c r="H58" t="str">
        <v>JWLRY-FG-STC-CRD</v>
      </c>
      <c r="I58" t="str">
        <v>BBY601055013010</v>
      </c>
      <c r="J58">
        <v>2</v>
      </c>
    </row>
    <row r="59" spans="1:10" x14ac:dyDescent="0.25">
      <c r="A59" t="str">
        <v>SGG</v>
      </c>
      <c r="B59" vm="1">
        <v>46281</v>
      </c>
      <c r="C59" t="str">
        <v>32683323</v>
      </c>
      <c r="D59" t="str">
        <v>AR0045378</v>
      </c>
      <c r="E59" t="str">
        <v>002129</v>
      </c>
      <c r="F59" t="str">
        <v>J.C.PENNEY CORP. (058)</v>
      </c>
      <c r="G59">
        <v>20.399999999999999</v>
      </c>
      <c r="H59" t="str">
        <v>JWLRY-FG-STC-CRD</v>
      </c>
      <c r="I59" t="str">
        <v>BBY601057013010</v>
      </c>
      <c r="J59">
        <v>2</v>
      </c>
    </row>
    <row r="60" spans="1:10" x14ac:dyDescent="0.25">
      <c r="A60" t="str">
        <v>SGG</v>
      </c>
      <c r="B60" vm="1">
        <v>46281</v>
      </c>
      <c r="C60" t="str">
        <v>32683323</v>
      </c>
      <c r="D60" t="str">
        <v>AR0045378</v>
      </c>
      <c r="E60" t="str">
        <v>002129</v>
      </c>
      <c r="F60" t="str">
        <v>J.C.PENNEY CORP. (058)</v>
      </c>
      <c r="G60">
        <v>19.18</v>
      </c>
      <c r="H60" t="str">
        <v>JWLRY-FG-STC-CRD</v>
      </c>
      <c r="I60" t="str">
        <v>BBM601014013010</v>
      </c>
      <c r="J60">
        <v>2</v>
      </c>
    </row>
    <row r="61" spans="1:10" x14ac:dyDescent="0.25">
      <c r="A61" t="str">
        <v>SGG</v>
      </c>
      <c r="B61" vm="1">
        <v>46281</v>
      </c>
      <c r="C61" t="str">
        <v>32683323</v>
      </c>
      <c r="D61" t="str">
        <v>AR0045378</v>
      </c>
      <c r="E61" t="str">
        <v>002129</v>
      </c>
      <c r="F61" t="str">
        <v>J.C.PENNEY CORP. (058)</v>
      </c>
      <c r="G61">
        <v>20.399999999999999</v>
      </c>
      <c r="H61" t="str">
        <v>JWLRY-FG-STC-CRD</v>
      </c>
      <c r="I61" t="str">
        <v>BBM601013013010</v>
      </c>
      <c r="J61">
        <v>2</v>
      </c>
    </row>
    <row r="62" spans="1:10" x14ac:dyDescent="0.25">
      <c r="A62" t="str">
        <v>SGG</v>
      </c>
      <c r="B62" vm="1">
        <v>46281</v>
      </c>
      <c r="C62" t="str">
        <v>32683323</v>
      </c>
      <c r="D62" t="str">
        <v>AR0045378</v>
      </c>
      <c r="E62" t="str">
        <v>002129</v>
      </c>
      <c r="F62" t="str">
        <v>J.C.PENNEY CORP. (058)</v>
      </c>
      <c r="G62">
        <v>18.5</v>
      </c>
      <c r="H62" t="str">
        <v>JWLRY-FG-STC-CRD</v>
      </c>
      <c r="I62" t="str">
        <v>BBM521906013010</v>
      </c>
      <c r="J62">
        <v>2</v>
      </c>
    </row>
    <row r="63" spans="1:10" x14ac:dyDescent="0.25">
      <c r="A63" t="str">
        <v>SGG</v>
      </c>
      <c r="B63" vm="1">
        <v>46281</v>
      </c>
      <c r="C63" t="str">
        <v>32683323</v>
      </c>
      <c r="D63" t="str">
        <v>AR0045378</v>
      </c>
      <c r="E63" t="str">
        <v>002129</v>
      </c>
      <c r="F63" t="str">
        <v>J.C.PENNEY CORP. (058)</v>
      </c>
      <c r="G63">
        <v>30.6</v>
      </c>
      <c r="H63" t="str">
        <v>JWLRY-FG-RS-CRD</v>
      </c>
      <c r="I63" t="str">
        <v>BBY601056013010</v>
      </c>
      <c r="J63">
        <v>3</v>
      </c>
    </row>
    <row r="64" spans="1:10" x14ac:dyDescent="0.25">
      <c r="A64" t="str">
        <v>SGG</v>
      </c>
      <c r="B64" vm="1">
        <v>46281</v>
      </c>
      <c r="C64" t="str">
        <v>32683323</v>
      </c>
      <c r="D64" t="str">
        <v>AR0045378</v>
      </c>
      <c r="E64" t="str">
        <v>002129</v>
      </c>
      <c r="F64" t="str">
        <v>J.C.PENNEY CORP. (058)</v>
      </c>
      <c r="G64">
        <v>19</v>
      </c>
      <c r="H64" t="str">
        <v>JWLRY-FG-STC-CRD</v>
      </c>
      <c r="I64" t="str">
        <v>BBM521913013010</v>
      </c>
      <c r="J64">
        <v>2</v>
      </c>
    </row>
    <row r="65" spans="1:10" x14ac:dyDescent="0.25">
      <c r="A65" t="str">
        <v>SGG</v>
      </c>
      <c r="B65" vm="1">
        <v>46281</v>
      </c>
      <c r="C65" t="str">
        <v>32683323</v>
      </c>
      <c r="D65" t="str">
        <v>AR0045378</v>
      </c>
      <c r="E65" t="str">
        <v>002129</v>
      </c>
      <c r="F65" t="str">
        <v>J.C.PENNEY CORP. (058)</v>
      </c>
      <c r="G65">
        <v>20.399999999999999</v>
      </c>
      <c r="H65" t="str">
        <v>JWLRY-FG-STC-CRD</v>
      </c>
      <c r="I65" t="str">
        <v>BBY601055013010</v>
      </c>
      <c r="J65">
        <v>2</v>
      </c>
    </row>
    <row r="66" spans="1:10" x14ac:dyDescent="0.25">
      <c r="A66" t="str">
        <v>SGG</v>
      </c>
      <c r="B66" vm="1">
        <v>46281</v>
      </c>
      <c r="C66" t="str">
        <v>32683323</v>
      </c>
      <c r="D66" t="str">
        <v>AR0045378</v>
      </c>
      <c r="E66" t="str">
        <v>002129</v>
      </c>
      <c r="F66" t="str">
        <v>J.C.PENNEY CORP. (058)</v>
      </c>
      <c r="G66">
        <v>20.399999999999999</v>
      </c>
      <c r="H66" t="str">
        <v>JWLRY-FG-STC-CRD</v>
      </c>
      <c r="I66" t="str">
        <v>BBY601057013010</v>
      </c>
      <c r="J66">
        <v>2</v>
      </c>
    </row>
    <row r="67" spans="1:10" x14ac:dyDescent="0.25">
      <c r="A67" t="str">
        <v>SGG</v>
      </c>
      <c r="B67" vm="1">
        <v>46281</v>
      </c>
      <c r="C67" t="str">
        <v>32683323</v>
      </c>
      <c r="D67" t="str">
        <v>AR0045378</v>
      </c>
      <c r="E67" t="str">
        <v>002129</v>
      </c>
      <c r="F67" t="str">
        <v>J.C.PENNEY CORP. (058)</v>
      </c>
      <c r="G67">
        <v>28.77</v>
      </c>
      <c r="H67" t="str">
        <v>JWLRY-FG-STC-CRD</v>
      </c>
      <c r="I67" t="str">
        <v>BBM601014013010</v>
      </c>
      <c r="J67">
        <v>3</v>
      </c>
    </row>
    <row r="68" spans="1:10" x14ac:dyDescent="0.25">
      <c r="A68" t="str">
        <v>SGG</v>
      </c>
      <c r="B68" vm="1">
        <v>46281</v>
      </c>
      <c r="C68" t="str">
        <v>32683323</v>
      </c>
      <c r="D68" t="str">
        <v>AR0045378</v>
      </c>
      <c r="E68" t="str">
        <v>002129</v>
      </c>
      <c r="F68" t="str">
        <v>J.C.PENNEY CORP. (058)</v>
      </c>
      <c r="G68">
        <v>20.399999999999999</v>
      </c>
      <c r="H68" t="str">
        <v>JWLRY-FG-STC-CRD</v>
      </c>
      <c r="I68" t="str">
        <v>BBM601013013010</v>
      </c>
      <c r="J68">
        <v>2</v>
      </c>
    </row>
    <row r="69" spans="1:10" x14ac:dyDescent="0.25">
      <c r="A69" t="str">
        <v>SGG</v>
      </c>
      <c r="B69" vm="1">
        <v>46281</v>
      </c>
      <c r="C69" t="str">
        <v>32683323</v>
      </c>
      <c r="D69" t="str">
        <v>AR0045378</v>
      </c>
      <c r="E69" t="str">
        <v>002129</v>
      </c>
      <c r="F69" t="str">
        <v>J.C.PENNEY CORP. (058)</v>
      </c>
      <c r="G69">
        <v>27.75</v>
      </c>
      <c r="H69" t="str">
        <v>JWLRY-FG-STC-CRD</v>
      </c>
      <c r="I69" t="str">
        <v>BBM521906013010</v>
      </c>
      <c r="J69">
        <v>3</v>
      </c>
    </row>
    <row r="70" spans="1:10" x14ac:dyDescent="0.25">
      <c r="A70" t="str">
        <v>SGG</v>
      </c>
      <c r="B70" vm="2">
        <v>46288</v>
      </c>
      <c r="C70" t="str">
        <v>32683323</v>
      </c>
      <c r="D70" t="str">
        <v>AR0045381</v>
      </c>
      <c r="E70" t="str">
        <v>002129</v>
      </c>
      <c r="F70" t="str">
        <v>J.C.PENNEY CORP. (058)</v>
      </c>
      <c r="G70">
        <v>20.399999999999999</v>
      </c>
      <c r="H70" t="str">
        <v>JWLRY-FG-RS-CRD</v>
      </c>
      <c r="I70" t="str">
        <v>BBY601056013010</v>
      </c>
      <c r="J70">
        <v>2</v>
      </c>
    </row>
    <row r="71" spans="1:10" x14ac:dyDescent="0.25">
      <c r="A71" t="str">
        <v>SGG</v>
      </c>
      <c r="B71" vm="2">
        <v>46288</v>
      </c>
      <c r="C71" t="str">
        <v>32683323</v>
      </c>
      <c r="D71" t="str">
        <v>AR0045381</v>
      </c>
      <c r="E71" t="str">
        <v>002129</v>
      </c>
      <c r="F71" t="str">
        <v>J.C.PENNEY CORP. (058)</v>
      </c>
      <c r="G71">
        <v>19</v>
      </c>
      <c r="H71" t="str">
        <v>JWLRY-FG-STC-CRD</v>
      </c>
      <c r="I71" t="str">
        <v>BBM521913013010</v>
      </c>
      <c r="J71">
        <v>2</v>
      </c>
    </row>
    <row r="72" spans="1:10" x14ac:dyDescent="0.25">
      <c r="A72" t="str">
        <v>SGG</v>
      </c>
      <c r="B72" vm="2">
        <v>46288</v>
      </c>
      <c r="C72" t="str">
        <v>32683323</v>
      </c>
      <c r="D72" t="str">
        <v>AR0045381</v>
      </c>
      <c r="E72" t="str">
        <v>002129</v>
      </c>
      <c r="F72" t="str">
        <v>J.C.PENNEY CORP. (058)</v>
      </c>
      <c r="G72">
        <v>20.399999999999999</v>
      </c>
      <c r="H72" t="str">
        <v>JWLRY-FG-STC-CRD</v>
      </c>
      <c r="I72" t="str">
        <v>BBY601055013010</v>
      </c>
      <c r="J72">
        <v>2</v>
      </c>
    </row>
    <row r="73" spans="1:10" x14ac:dyDescent="0.25">
      <c r="A73" t="str">
        <v>SGG</v>
      </c>
      <c r="B73" vm="2">
        <v>46288</v>
      </c>
      <c r="C73" t="str">
        <v>32683323</v>
      </c>
      <c r="D73" t="str">
        <v>AR0045381</v>
      </c>
      <c r="E73" t="str">
        <v>002129</v>
      </c>
      <c r="F73" t="str">
        <v>J.C.PENNEY CORP. (058)</v>
      </c>
      <c r="G73">
        <v>20.399999999999999</v>
      </c>
      <c r="H73" t="str">
        <v>JWLRY-FG-STC-CRD</v>
      </c>
      <c r="I73" t="str">
        <v>BBY601057013010</v>
      </c>
      <c r="J73">
        <v>2</v>
      </c>
    </row>
    <row r="74" spans="1:10" x14ac:dyDescent="0.25">
      <c r="A74" t="str">
        <v>SGG</v>
      </c>
      <c r="B74" vm="2">
        <v>46288</v>
      </c>
      <c r="C74" t="str">
        <v>32683323</v>
      </c>
      <c r="D74" t="str">
        <v>AR0045381</v>
      </c>
      <c r="E74" t="str">
        <v>002129</v>
      </c>
      <c r="F74" t="str">
        <v>J.C.PENNEY CORP. (058)</v>
      </c>
      <c r="G74">
        <v>19.18</v>
      </c>
      <c r="H74" t="str">
        <v>JWLRY-FG-STC-CRD</v>
      </c>
      <c r="I74" t="str">
        <v>BBM601014013010</v>
      </c>
      <c r="J74">
        <v>2</v>
      </c>
    </row>
    <row r="75" spans="1:10" x14ac:dyDescent="0.25">
      <c r="A75" t="str">
        <v>SGG</v>
      </c>
      <c r="B75" vm="2">
        <v>46288</v>
      </c>
      <c r="C75" t="str">
        <v>32683323</v>
      </c>
      <c r="D75" t="str">
        <v>AR0045381</v>
      </c>
      <c r="E75" t="str">
        <v>002129</v>
      </c>
      <c r="F75" t="str">
        <v>J.C.PENNEY CORP. (058)</v>
      </c>
      <c r="G75">
        <v>20.399999999999999</v>
      </c>
      <c r="H75" t="str">
        <v>JWLRY-FG-STC-CRD</v>
      </c>
      <c r="I75" t="str">
        <v>BBM601013013010</v>
      </c>
      <c r="J75">
        <v>2</v>
      </c>
    </row>
    <row r="76" spans="1:10" x14ac:dyDescent="0.25">
      <c r="A76" t="str">
        <v>SGG</v>
      </c>
      <c r="B76" vm="2">
        <v>46288</v>
      </c>
      <c r="C76" t="str">
        <v>32683323</v>
      </c>
      <c r="D76" t="str">
        <v>AR0045381</v>
      </c>
      <c r="E76" t="str">
        <v>002129</v>
      </c>
      <c r="F76" t="str">
        <v>J.C.PENNEY CORP. (058)</v>
      </c>
      <c r="G76">
        <v>18.5</v>
      </c>
      <c r="H76" t="str">
        <v>JWLRY-FG-STC-CRD</v>
      </c>
      <c r="I76" t="str">
        <v>BBM521906013010</v>
      </c>
      <c r="J76">
        <v>2</v>
      </c>
    </row>
    <row r="77" spans="1:10" x14ac:dyDescent="0.25">
      <c r="A77" t="str">
        <v>SGG</v>
      </c>
      <c r="B77" vm="2">
        <v>46288</v>
      </c>
      <c r="C77" t="str">
        <v>32683323</v>
      </c>
      <c r="D77" t="str">
        <v>AR0045381</v>
      </c>
      <c r="E77" t="str">
        <v>002129</v>
      </c>
      <c r="F77" t="str">
        <v>J.C.PENNEY CORP. (058)</v>
      </c>
      <c r="G77">
        <v>20.399999999999999</v>
      </c>
      <c r="H77" t="str">
        <v>JWLRY-FG-RS-CRD</v>
      </c>
      <c r="I77" t="str">
        <v>BBY601056013010</v>
      </c>
      <c r="J77">
        <v>2</v>
      </c>
    </row>
    <row r="78" spans="1:10" x14ac:dyDescent="0.25">
      <c r="A78" t="str">
        <v>SGG</v>
      </c>
      <c r="B78" vm="2">
        <v>46288</v>
      </c>
      <c r="C78" t="str">
        <v>32683323</v>
      </c>
      <c r="D78" t="str">
        <v>AR0045381</v>
      </c>
      <c r="E78" t="str">
        <v>002129</v>
      </c>
      <c r="F78" t="str">
        <v>J.C.PENNEY CORP. (058)</v>
      </c>
      <c r="G78">
        <v>19</v>
      </c>
      <c r="H78" t="str">
        <v>JWLRY-FG-STC-CRD</v>
      </c>
      <c r="I78" t="str">
        <v>BBM521913013010</v>
      </c>
      <c r="J78">
        <v>2</v>
      </c>
    </row>
    <row r="79" spans="1:10" x14ac:dyDescent="0.25">
      <c r="A79" t="str">
        <v>SGG</v>
      </c>
      <c r="B79" vm="2">
        <v>46288</v>
      </c>
      <c r="C79" t="str">
        <v>32683323</v>
      </c>
      <c r="D79" t="str">
        <v>AR0045381</v>
      </c>
      <c r="E79" t="str">
        <v>002129</v>
      </c>
      <c r="F79" t="str">
        <v>J.C.PENNEY CORP. (058)</v>
      </c>
      <c r="G79">
        <v>20.399999999999999</v>
      </c>
      <c r="H79" t="str">
        <v>JWLRY-FG-STC-CRD</v>
      </c>
      <c r="I79" t="str">
        <v>BBY601055013010</v>
      </c>
      <c r="J79">
        <v>2</v>
      </c>
    </row>
    <row r="80" spans="1:10" x14ac:dyDescent="0.25">
      <c r="A80" t="str">
        <v>SGG</v>
      </c>
      <c r="B80" vm="2">
        <v>46288</v>
      </c>
      <c r="C80" t="str">
        <v>32683323</v>
      </c>
      <c r="D80" t="str">
        <v>AR0045381</v>
      </c>
      <c r="E80" t="str">
        <v>002129</v>
      </c>
      <c r="F80" t="str">
        <v>J.C.PENNEY CORP. (058)</v>
      </c>
      <c r="G80">
        <v>20.399999999999999</v>
      </c>
      <c r="H80" t="str">
        <v>JWLRY-FG-STC-CRD</v>
      </c>
      <c r="I80" t="str">
        <v>BBY601057013010</v>
      </c>
      <c r="J80">
        <v>2</v>
      </c>
    </row>
    <row r="81" spans="1:10" x14ac:dyDescent="0.25">
      <c r="A81" t="str">
        <v>SGG</v>
      </c>
      <c r="B81" vm="2">
        <v>46288</v>
      </c>
      <c r="C81" t="str">
        <v>32683323</v>
      </c>
      <c r="D81" t="str">
        <v>AR0045381</v>
      </c>
      <c r="E81" t="str">
        <v>002129</v>
      </c>
      <c r="F81" t="str">
        <v>J.C.PENNEY CORP. (058)</v>
      </c>
      <c r="G81">
        <v>19.18</v>
      </c>
      <c r="H81" t="str">
        <v>JWLRY-FG-STC-CRD</v>
      </c>
      <c r="I81" t="str">
        <v>BBM601014013010</v>
      </c>
      <c r="J81">
        <v>2</v>
      </c>
    </row>
    <row r="82" spans="1:10" x14ac:dyDescent="0.25">
      <c r="A82" t="str">
        <v>SGG</v>
      </c>
      <c r="B82" vm="2">
        <v>46288</v>
      </c>
      <c r="C82" t="str">
        <v>32683323</v>
      </c>
      <c r="D82" t="str">
        <v>AR0045381</v>
      </c>
      <c r="E82" t="str">
        <v>002129</v>
      </c>
      <c r="F82" t="str">
        <v>J.C.PENNEY CORP. (058)</v>
      </c>
      <c r="G82">
        <v>20.399999999999999</v>
      </c>
      <c r="H82" t="str">
        <v>JWLRY-FG-STC-CRD</v>
      </c>
      <c r="I82" t="str">
        <v>BBM601013013010</v>
      </c>
      <c r="J82">
        <v>2</v>
      </c>
    </row>
    <row r="83" spans="1:10" x14ac:dyDescent="0.25">
      <c r="A83" t="str">
        <v>SGG</v>
      </c>
      <c r="B83" vm="2">
        <v>46288</v>
      </c>
      <c r="C83" t="str">
        <v>32683323</v>
      </c>
      <c r="D83" t="str">
        <v>AR0045381</v>
      </c>
      <c r="E83" t="str">
        <v>002129</v>
      </c>
      <c r="F83" t="str">
        <v>J.C.PENNEY CORP. (058)</v>
      </c>
      <c r="G83">
        <v>18.5</v>
      </c>
      <c r="H83" t="str">
        <v>JWLRY-FG-STC-CRD</v>
      </c>
      <c r="I83" t="str">
        <v>BBM521906013010</v>
      </c>
      <c r="J83">
        <v>2</v>
      </c>
    </row>
    <row r="84" spans="1:10" x14ac:dyDescent="0.25">
      <c r="A84" t="str">
        <v>SGG</v>
      </c>
      <c r="B84" vm="2">
        <v>46288</v>
      </c>
      <c r="C84" t="str">
        <v>32683323</v>
      </c>
      <c r="D84" t="str">
        <v>AR0045381</v>
      </c>
      <c r="E84" t="str">
        <v>002129</v>
      </c>
      <c r="F84" t="str">
        <v>J.C.PENNEY CORP. (058)</v>
      </c>
      <c r="G84">
        <v>30.6</v>
      </c>
      <c r="H84" t="str">
        <v>JWLRY-FG-RS-CRD</v>
      </c>
      <c r="I84" t="str">
        <v>BBY601056013010</v>
      </c>
      <c r="J84">
        <v>3</v>
      </c>
    </row>
    <row r="85" spans="1:10" x14ac:dyDescent="0.25">
      <c r="A85" t="str">
        <v>SGG</v>
      </c>
      <c r="B85" vm="2">
        <v>46288</v>
      </c>
      <c r="C85" t="str">
        <v>32683323</v>
      </c>
      <c r="D85" t="str">
        <v>AR0045381</v>
      </c>
      <c r="E85" t="str">
        <v>002129</v>
      </c>
      <c r="F85" t="str">
        <v>J.C.PENNEY CORP. (058)</v>
      </c>
      <c r="G85">
        <v>19</v>
      </c>
      <c r="H85" t="str">
        <v>JWLRY-FG-STC-CRD</v>
      </c>
      <c r="I85" t="str">
        <v>BBM521913013010</v>
      </c>
      <c r="J85">
        <v>2</v>
      </c>
    </row>
    <row r="86" spans="1:10" x14ac:dyDescent="0.25">
      <c r="A86" t="str">
        <v>SGG</v>
      </c>
      <c r="B86" vm="2">
        <v>46288</v>
      </c>
      <c r="C86" t="str">
        <v>32683323</v>
      </c>
      <c r="D86" t="str">
        <v>AR0045381</v>
      </c>
      <c r="E86" t="str">
        <v>002129</v>
      </c>
      <c r="F86" t="str">
        <v>J.C.PENNEY CORP. (058)</v>
      </c>
      <c r="G86">
        <v>20.399999999999999</v>
      </c>
      <c r="H86" t="str">
        <v>JWLRY-FG-STC-CRD</v>
      </c>
      <c r="I86" t="str">
        <v>BBY601055013010</v>
      </c>
      <c r="J86">
        <v>2</v>
      </c>
    </row>
    <row r="87" spans="1:10" x14ac:dyDescent="0.25">
      <c r="A87" t="str">
        <v>SGG</v>
      </c>
      <c r="B87" vm="2">
        <v>46288</v>
      </c>
      <c r="C87" t="str">
        <v>32683323</v>
      </c>
      <c r="D87" t="str">
        <v>AR0045381</v>
      </c>
      <c r="E87" t="str">
        <v>002129</v>
      </c>
      <c r="F87" t="str">
        <v>J.C.PENNEY CORP. (058)</v>
      </c>
      <c r="G87">
        <v>20.399999999999999</v>
      </c>
      <c r="H87" t="str">
        <v>JWLRY-FG-STC-CRD</v>
      </c>
      <c r="I87" t="str">
        <v>BBY601057013010</v>
      </c>
      <c r="J87">
        <v>2</v>
      </c>
    </row>
    <row r="88" spans="1:10" x14ac:dyDescent="0.25">
      <c r="A88" t="str">
        <v>SGG</v>
      </c>
      <c r="B88" vm="2">
        <v>46288</v>
      </c>
      <c r="C88" t="str">
        <v>32683323</v>
      </c>
      <c r="D88" t="str">
        <v>AR0045381</v>
      </c>
      <c r="E88" t="str">
        <v>002129</v>
      </c>
      <c r="F88" t="str">
        <v>J.C.PENNEY CORP. (058)</v>
      </c>
      <c r="G88">
        <v>28.77</v>
      </c>
      <c r="H88" t="str">
        <v>JWLRY-FG-STC-CRD</v>
      </c>
      <c r="I88" t="str">
        <v>BBM601014013010</v>
      </c>
      <c r="J88">
        <v>3</v>
      </c>
    </row>
    <row r="89" spans="1:10" x14ac:dyDescent="0.25">
      <c r="A89" t="str">
        <v>SGG</v>
      </c>
      <c r="B89" vm="2">
        <v>46288</v>
      </c>
      <c r="C89" t="str">
        <v>32683323</v>
      </c>
      <c r="D89" t="str">
        <v>AR0045381</v>
      </c>
      <c r="E89" t="str">
        <v>002129</v>
      </c>
      <c r="F89" t="str">
        <v>J.C.PENNEY CORP. (058)</v>
      </c>
      <c r="G89">
        <v>20.399999999999999</v>
      </c>
      <c r="H89" t="str">
        <v>JWLRY-FG-STC-CRD</v>
      </c>
      <c r="I89" t="str">
        <v>BBM601013013010</v>
      </c>
      <c r="J89">
        <v>2</v>
      </c>
    </row>
    <row r="90" spans="1:10" x14ac:dyDescent="0.25">
      <c r="A90" t="str">
        <v>SGG</v>
      </c>
      <c r="B90" vm="2">
        <v>46288</v>
      </c>
      <c r="C90" t="str">
        <v>32683323</v>
      </c>
      <c r="D90" t="str">
        <v>AR0045381</v>
      </c>
      <c r="E90" t="str">
        <v>002129</v>
      </c>
      <c r="F90" t="str">
        <v>J.C.PENNEY CORP. (058)</v>
      </c>
      <c r="G90">
        <v>27.75</v>
      </c>
      <c r="H90" t="str">
        <v>JWLRY-FG-STC-CRD</v>
      </c>
      <c r="I90" t="str">
        <v>BBM521906013010</v>
      </c>
      <c r="J9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E742C-0BBC-47FD-B692-94C1EF3131EA}">
  <dimension ref="A1:F1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b">
        <v>0</v>
      </c>
      <c r="E1" t="s">
        <v>5</v>
      </c>
      <c r="F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8B208-71EC-4885-A714-6078EF7D89B8}">
  <dimension ref="A1:H1"/>
  <sheetViews>
    <sheetView workbookViewId="0"/>
  </sheetViews>
  <sheetFormatPr defaultRowHeight="15" x14ac:dyDescent="0.25"/>
  <sheetData>
    <row r="1" spans="1:8" x14ac:dyDescent="0.25">
      <c r="A1" t="s">
        <v>5</v>
      </c>
      <c r="B1" t="s">
        <v>3</v>
      </c>
      <c r="D1" t="s">
        <v>6</v>
      </c>
      <c r="G1" t="s">
        <v>7</v>
      </c>
      <c r="H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DC861-A88B-4F08-AE8D-FCFD64BAFFA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7E9C0-BDFA-4A5A-9D84-9B4716D9F7C7}">
  <dimension ref="A1"/>
  <sheetViews>
    <sheetView workbookViewId="0"/>
  </sheetViews>
  <sheetFormatPr defaultRowHeight="15" x14ac:dyDescent="0.25"/>
  <sheetData>
    <row r="1" spans="1:1" x14ac:dyDescent="0.25">
      <c r="A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Liping Hu</dc:creator>
  <cp:lastModifiedBy>Liping Hu</cp:lastModifiedBy>
  <dcterms:created xsi:type="dcterms:W3CDTF">2026-09-25T17:49:37Z</dcterms:created>
  <dcterms:modified xsi:type="dcterms:W3CDTF">2026-09-28T15:28:46Z</dcterms:modified>
</cp:coreProperties>
</file>