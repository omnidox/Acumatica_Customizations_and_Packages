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Peiyu\Desktop\"/>
    </mc:Choice>
  </mc:AlternateContent>
  <xr:revisionPtr revIDLastSave="0" documentId="8_{979602AF-C504-4475-9AE5-270E21F83548}" xr6:coauthVersionLast="47" xr6:coauthVersionMax="47" xr10:uidLastSave="{00000000-0000-0000-0000-000000000000}"/>
  <bookViews>
    <workbookView xWindow="675" yWindow="-18165" windowWidth="28260" windowHeight="16230" activeTab="1" xr2:uid="{2AAE2E0D-A80D-4B05-94C4-200B04077CF9}"/>
  </bookViews>
  <sheets>
    <sheet name="Sheet1" sheetId="1" r:id="rId1"/>
    <sheet name="Sheet2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calcChain.xml><?xml version="1.0" encoding="utf-8"?>
<calcChain xmlns="http://schemas.openxmlformats.org/spreadsheetml/2006/main">
  <c r="Q12" i="2" l="1"/>
  <c r="Q13" i="2"/>
  <c r="Q11" i="2"/>
  <c r="P12" i="2"/>
  <c r="P13" i="2"/>
  <c r="P11" i="2"/>
  <c r="M12" i="2"/>
  <c r="O12" i="2" s="1"/>
  <c r="N12" i="2"/>
  <c r="M13" i="2"/>
  <c r="N13" i="2"/>
  <c r="O13" i="2" s="1"/>
  <c r="F11" i="2"/>
  <c r="N11" i="2" s="1"/>
  <c r="G11" i="2"/>
  <c r="H11" i="2"/>
  <c r="I11" i="2"/>
  <c r="J11" i="2"/>
  <c r="E11" i="2"/>
  <c r="M11" i="2" s="1"/>
  <c r="O11" i="2" l="1"/>
</calcChain>
</file>

<file path=xl/sharedStrings.xml><?xml version="1.0" encoding="utf-8"?>
<sst xmlns="http://schemas.openxmlformats.org/spreadsheetml/2006/main" count="32" uniqueCount="20">
  <si>
    <t>component1</t>
  </si>
  <si>
    <t>component2</t>
  </si>
  <si>
    <t>Kit 1</t>
  </si>
  <si>
    <t>Component1</t>
  </si>
  <si>
    <t>Component2</t>
  </si>
  <si>
    <t>Kit 2</t>
  </si>
  <si>
    <t>Component3</t>
  </si>
  <si>
    <t>On Hand</t>
  </si>
  <si>
    <t>MOQ = Minumum Order Quantiy</t>
  </si>
  <si>
    <t>TTL Supply</t>
  </si>
  <si>
    <t>Sep</t>
  </si>
  <si>
    <t>Oct</t>
  </si>
  <si>
    <t>Forecast</t>
  </si>
  <si>
    <t>Purchase Order</t>
  </si>
  <si>
    <t>Sales Order Shipped</t>
  </si>
  <si>
    <t>Sales Order Open</t>
  </si>
  <si>
    <t>Commit</t>
  </si>
  <si>
    <t>TTL Commit</t>
  </si>
  <si>
    <t>Short</t>
  </si>
  <si>
    <t>Suggested Buy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</si>
</sst>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Aptos Narrow"/>
      <family val="2"/>
      <scheme val="minor"/>
    </font>
    <font>
      <sz val="8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0" fillId="0" borderId="0" xfId="0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070BB98-9DA2-403B-B844-19F2116B099E}">
  <dimension ref="A2:A3"/>
  <sheetViews>
    <sheetView zoomScale="205" workbookViewId="0">
      <selection activeCell="A4" sqref="A4"/>
    </sheetView>
  </sheetViews>
  <sheetFormatPr defaultRowHeight="14.4" x14ac:dyDescent="0.3"/>
  <sheetData>
    <row r="2" spans="1:1" x14ac:dyDescent="0.3">
      <c r="A2" t="s">
        <v>0</v>
      </c>
    </row>
    <row r="3" spans="1:1" x14ac:dyDescent="0.3">
      <c r="A3" t="s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A5784A-E007-4258-BC56-47C1C6BD3693}">
  <dimension ref="A1:S13"/>
  <sheetViews>
    <sheetView tabSelected="1" zoomScale="167" workbookViewId="0">
      <selection activeCell="S14" sqref="S14"/>
    </sheetView>
  </sheetViews>
  <sheetFormatPr defaultRowHeight="14.4" x14ac:dyDescent="0.3"/>
  <cols>
    <col min="2" max="2" width="11.33203125" bestFit="1" customWidth="1"/>
    <col min="8" max="8" width="9.44140625" customWidth="1"/>
    <col min="10" max="10" width="9.44140625" customWidth="1"/>
    <col min="13" max="13" width="12.33203125" bestFit="1" customWidth="1"/>
    <col min="14" max="15" width="12.33203125" customWidth="1"/>
    <col min="16" max="17" width="9.33203125" customWidth="1"/>
    <col min="18" max="18" width="26.6640625" bestFit="1" customWidth="1"/>
    <col min="19" max="19" width="12.44140625" bestFit="1" customWidth="1"/>
  </cols>
  <sheetData>
    <row r="1" spans="1:19" x14ac:dyDescent="0.3">
      <c r="D1" t="s">
        <v>7</v>
      </c>
      <c r="E1" t="s">
        <v>12</v>
      </c>
      <c r="G1" t="s">
        <v>14</v>
      </c>
      <c r="I1" t="s">
        <v>15</v>
      </c>
      <c r="K1" t="s">
        <v>13</v>
      </c>
      <c r="M1" t="s">
        <v>16</v>
      </c>
      <c r="O1" t="s">
        <v>17</v>
      </c>
      <c r="P1" t="s">
        <v>9</v>
      </c>
      <c r="Q1" t="s">
        <v>18</v>
      </c>
      <c r="R1" t="s">
        <v>8</v>
      </c>
      <c r="S1" t="s">
        <v>19</v>
      </c>
    </row>
    <row r="2" spans="1:19" x14ac:dyDescent="0.3">
      <c r="E2" t="s">
        <v>10</v>
      </c>
      <c r="F2" t="s">
        <v>11</v>
      </c>
      <c r="G2" t="s">
        <v>10</v>
      </c>
      <c r="H2" t="s">
        <v>11</v>
      </c>
      <c r="I2" t="s">
        <v>10</v>
      </c>
      <c r="J2" t="s">
        <v>11</v>
      </c>
      <c r="M2" t="s">
        <v>10</v>
      </c>
      <c r="N2" t="s">
        <v>11</v>
      </c>
    </row>
    <row r="3" spans="1:19" x14ac:dyDescent="0.3">
      <c r="A3" t="s">
        <v>2</v>
      </c>
      <c r="B3" t="s">
        <v>3</v>
      </c>
      <c r="C3">
        <v>1</v>
      </c>
      <c r="E3">
        <v>100</v>
      </c>
      <c r="F3">
        <v>120</v>
      </c>
      <c r="G3">
        <v>50</v>
      </c>
      <c r="H3">
        <v>0</v>
      </c>
      <c r="I3">
        <v>100</v>
      </c>
      <c r="J3">
        <v>120</v>
      </c>
    </row>
    <row r="4" spans="1:19" x14ac:dyDescent="0.3">
      <c r="A4" t="s">
        <v>2</v>
      </c>
      <c r="B4" t="s">
        <v>4</v>
      </c>
      <c r="C4">
        <v>1</v>
      </c>
    </row>
    <row r="7" spans="1:19" x14ac:dyDescent="0.3">
      <c r="A7" t="s">
        <v>5</v>
      </c>
      <c r="B7" t="s">
        <v>3</v>
      </c>
      <c r="C7">
        <v>1</v>
      </c>
      <c r="E7">
        <v>150</v>
      </c>
      <c r="F7">
        <v>100</v>
      </c>
      <c r="G7">
        <v>30</v>
      </c>
      <c r="H7">
        <v>0</v>
      </c>
      <c r="I7">
        <v>50</v>
      </c>
      <c r="J7">
        <v>110</v>
      </c>
    </row>
    <row r="8" spans="1:19" x14ac:dyDescent="0.3">
      <c r="A8" t="s">
        <v>5</v>
      </c>
      <c r="B8" t="s">
        <v>6</v>
      </c>
      <c r="C8">
        <v>1</v>
      </c>
    </row>
    <row r="11" spans="1:19" x14ac:dyDescent="0.3">
      <c r="A11" t="s">
        <v>3</v>
      </c>
      <c r="D11">
        <v>200</v>
      </c>
      <c r="E11" s="1">
        <f>E3+E7</f>
        <v>250</v>
      </c>
      <c r="F11" s="1">
        <f t="shared" ref="F11:J11" si="0">F3+F7</f>
        <v>220</v>
      </c>
      <c r="G11" s="1">
        <f t="shared" si="0"/>
        <v>80</v>
      </c>
      <c r="H11" s="1">
        <f t="shared" si="0"/>
        <v>0</v>
      </c>
      <c r="I11" s="1">
        <f t="shared" si="0"/>
        <v>150</v>
      </c>
      <c r="J11" s="1">
        <f t="shared" si="0"/>
        <v>230</v>
      </c>
      <c r="K11">
        <v>20</v>
      </c>
      <c r="M11">
        <f>MAX(E11-G11,I11)</f>
        <v>170</v>
      </c>
      <c r="N11">
        <f>MAX(F11-H11,J11)</f>
        <v>230</v>
      </c>
      <c r="O11">
        <f>M11+N11</f>
        <v>400</v>
      </c>
      <c r="P11">
        <f>D11+K11</f>
        <v>220</v>
      </c>
      <c r="Q11">
        <f>P11-O11</f>
        <v>-180</v>
      </c>
      <c r="R11">
        <v>200</v>
      </c>
    </row>
    <row r="12" spans="1:19" x14ac:dyDescent="0.3">
      <c r="A12" t="s">
        <v>4</v>
      </c>
      <c r="D12">
        <v>100</v>
      </c>
      <c r="E12">
        <v>100</v>
      </c>
      <c r="F12">
        <v>120</v>
      </c>
      <c r="G12">
        <v>50</v>
      </c>
      <c r="H12">
        <v>0</v>
      </c>
      <c r="I12">
        <v>100</v>
      </c>
      <c r="J12">
        <v>120</v>
      </c>
      <c r="K12">
        <v>30</v>
      </c>
      <c r="M12">
        <f t="shared" ref="M12:M13" si="1">MAX(E12-G12,I12)</f>
        <v>100</v>
      </c>
      <c r="N12">
        <f t="shared" ref="N12:N13" si="2">MAX(F12-H12,J12)</f>
        <v>120</v>
      </c>
      <c r="O12">
        <f t="shared" ref="O12:O13" si="3">M12+N12</f>
        <v>220</v>
      </c>
      <c r="P12">
        <f t="shared" ref="P12:P13" si="4">D12+K12</f>
        <v>130</v>
      </c>
      <c r="Q12">
        <f t="shared" ref="Q12:Q13" si="5">P12-O12</f>
        <v>-90</v>
      </c>
      <c r="R12">
        <v>100</v>
      </c>
    </row>
    <row r="13" spans="1:19" x14ac:dyDescent="0.3">
      <c r="A13" t="s">
        <v>6</v>
      </c>
      <c r="D13">
        <v>150</v>
      </c>
      <c r="E13">
        <v>150</v>
      </c>
      <c r="F13">
        <v>100</v>
      </c>
      <c r="G13">
        <v>30</v>
      </c>
      <c r="H13">
        <v>0</v>
      </c>
      <c r="I13">
        <v>50</v>
      </c>
      <c r="J13">
        <v>110</v>
      </c>
      <c r="K13">
        <v>40</v>
      </c>
      <c r="M13">
        <f t="shared" si="1"/>
        <v>120</v>
      </c>
      <c r="N13">
        <f t="shared" si="2"/>
        <v>110</v>
      </c>
      <c r="O13">
        <f t="shared" si="3"/>
        <v>230</v>
      </c>
      <c r="P13">
        <f t="shared" si="4"/>
        <v>190</v>
      </c>
      <c r="Q13">
        <f t="shared" si="5"/>
        <v>-40</v>
      </c>
      <c r="R13">
        <v>50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Sheet1</vt:lpstr>
      <vt:lpstr>Sheet2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office 13</dc:creator>
  <cp:lastModifiedBy>office 13</cp:lastModifiedBy>
  <dcterms:created xsi:type="dcterms:W3CDTF">2026-09-25T20:59:23Z</dcterms:created>
  <dcterms:modified xsi:type="dcterms:W3CDTF">2026-09-25T21:22:52Z</dcterms:modified>
</cp:coreProperties>
</file>