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comm\Documents\GitHub\Acumatica_Customizations_and_Packages\Current_Customizations\RH_Customizations\Customization_Code\monthlyForecastReferenceTable\research_and_documentation\"/>
    </mc:Choice>
  </mc:AlternateContent>
  <xr:revisionPtr revIDLastSave="0" documentId="8_{F06F30AA-286F-4CA8-A9FD-615740A4C535}" xr6:coauthVersionLast="47" xr6:coauthVersionMax="47" xr10:uidLastSave="{00000000-0000-0000-0000-000000000000}"/>
  <bookViews>
    <workbookView xWindow="1290" yWindow="3015" windowWidth="28800" windowHeight="15345" xr2:uid="{C7528FB3-7E93-46D4-B2CC-C35B0B89981E}"/>
  </bookViews>
  <sheets>
    <sheet name="FORECAST UPLOAD" sheetId="1" r:id="rId1"/>
  </sheets>
  <externalReferences>
    <externalReference r:id="rId2"/>
  </externalReferences>
  <definedNames>
    <definedName name="_xlnm.Print_Area" localSheetId="0">'FORECAST UPLOAD'!$A$4:$K$30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/>
  <c r="AA8" i="1"/>
  <c r="AA7" i="1"/>
  <c r="AA6" i="1"/>
  <c r="K55" i="1"/>
  <c r="J55" i="1"/>
  <c r="I55" i="1"/>
  <c r="H55" i="1"/>
  <c r="G55" i="1"/>
  <c r="F55" i="1"/>
  <c r="E55" i="1"/>
  <c r="D55" i="1"/>
  <c r="B55" i="1"/>
  <c r="A55" i="1"/>
  <c r="K54" i="1"/>
  <c r="J54" i="1"/>
  <c r="I54" i="1"/>
  <c r="H54" i="1"/>
  <c r="G54" i="1"/>
  <c r="F54" i="1"/>
  <c r="E54" i="1"/>
  <c r="D54" i="1"/>
  <c r="B54" i="1"/>
  <c r="A54" i="1"/>
  <c r="K53" i="1"/>
  <c r="J53" i="1"/>
  <c r="I53" i="1"/>
  <c r="H53" i="1"/>
  <c r="G53" i="1"/>
  <c r="F53" i="1"/>
  <c r="E53" i="1"/>
  <c r="D53" i="1"/>
  <c r="B53" i="1"/>
  <c r="A53" i="1"/>
  <c r="K52" i="1"/>
  <c r="J52" i="1"/>
  <c r="I52" i="1"/>
  <c r="H52" i="1"/>
  <c r="G52" i="1"/>
  <c r="F52" i="1"/>
  <c r="E52" i="1"/>
  <c r="D52" i="1"/>
  <c r="B52" i="1"/>
  <c r="A52" i="1"/>
  <c r="K51" i="1"/>
  <c r="J51" i="1"/>
  <c r="I51" i="1"/>
  <c r="H51" i="1"/>
  <c r="G51" i="1"/>
  <c r="F51" i="1"/>
  <c r="E51" i="1"/>
  <c r="D51" i="1"/>
  <c r="B51" i="1"/>
  <c r="A51" i="1"/>
  <c r="K50" i="1"/>
  <c r="J50" i="1"/>
  <c r="I50" i="1"/>
  <c r="H50" i="1"/>
  <c r="G50" i="1"/>
  <c r="F50" i="1"/>
  <c r="E50" i="1"/>
  <c r="D50" i="1"/>
  <c r="B50" i="1"/>
  <c r="A50" i="1"/>
  <c r="K49" i="1"/>
  <c r="J49" i="1"/>
  <c r="I49" i="1"/>
  <c r="H49" i="1"/>
  <c r="G49" i="1"/>
  <c r="F49" i="1"/>
  <c r="E49" i="1"/>
  <c r="D49" i="1"/>
  <c r="B49" i="1"/>
  <c r="A49" i="1"/>
  <c r="K48" i="1"/>
  <c r="J48" i="1"/>
  <c r="I48" i="1"/>
  <c r="H48" i="1"/>
  <c r="G48" i="1"/>
  <c r="F48" i="1"/>
  <c r="E48" i="1"/>
  <c r="D48" i="1"/>
  <c r="B48" i="1"/>
  <c r="A48" i="1"/>
  <c r="K47" i="1"/>
  <c r="J47" i="1"/>
  <c r="I47" i="1"/>
  <c r="H47" i="1"/>
  <c r="G47" i="1"/>
  <c r="F47" i="1"/>
  <c r="E47" i="1"/>
  <c r="D47" i="1"/>
  <c r="B47" i="1"/>
  <c r="A47" i="1"/>
  <c r="K46" i="1"/>
  <c r="J46" i="1"/>
  <c r="I46" i="1"/>
  <c r="H46" i="1"/>
  <c r="G46" i="1"/>
  <c r="F46" i="1"/>
  <c r="E46" i="1"/>
  <c r="D46" i="1"/>
  <c r="B46" i="1"/>
  <c r="A46" i="1"/>
  <c r="K45" i="1"/>
  <c r="J45" i="1"/>
  <c r="I45" i="1"/>
  <c r="H45" i="1"/>
  <c r="G45" i="1"/>
  <c r="F45" i="1"/>
  <c r="E45" i="1"/>
  <c r="D45" i="1"/>
  <c r="B45" i="1"/>
  <c r="A45" i="1"/>
  <c r="K44" i="1"/>
  <c r="J44" i="1"/>
  <c r="I44" i="1"/>
  <c r="H44" i="1"/>
  <c r="G44" i="1"/>
  <c r="F44" i="1"/>
  <c r="E44" i="1"/>
  <c r="D44" i="1"/>
  <c r="B44" i="1"/>
  <c r="A44" i="1"/>
  <c r="K43" i="1"/>
  <c r="J43" i="1"/>
  <c r="I43" i="1"/>
  <c r="H43" i="1"/>
  <c r="G43" i="1"/>
  <c r="F43" i="1"/>
  <c r="E43" i="1"/>
  <c r="D43" i="1"/>
  <c r="B43" i="1"/>
  <c r="A43" i="1"/>
  <c r="K42" i="1"/>
  <c r="J42" i="1"/>
  <c r="I42" i="1"/>
  <c r="H42" i="1"/>
  <c r="G42" i="1"/>
  <c r="F42" i="1"/>
  <c r="E42" i="1"/>
  <c r="D42" i="1"/>
  <c r="B42" i="1"/>
  <c r="A42" i="1"/>
  <c r="K41" i="1"/>
  <c r="J41" i="1"/>
  <c r="I41" i="1"/>
  <c r="H41" i="1"/>
  <c r="G41" i="1"/>
  <c r="F41" i="1"/>
  <c r="E41" i="1"/>
  <c r="D41" i="1"/>
  <c r="B41" i="1"/>
  <c r="A41" i="1"/>
  <c r="K40" i="1"/>
  <c r="J40" i="1"/>
  <c r="I40" i="1"/>
  <c r="H40" i="1"/>
  <c r="G40" i="1"/>
  <c r="F40" i="1"/>
  <c r="E40" i="1"/>
  <c r="D40" i="1"/>
  <c r="B40" i="1"/>
  <c r="A40" i="1"/>
  <c r="K39" i="1"/>
  <c r="J39" i="1"/>
  <c r="I39" i="1"/>
  <c r="H39" i="1"/>
  <c r="G39" i="1"/>
  <c r="F39" i="1"/>
  <c r="E39" i="1"/>
  <c r="D39" i="1"/>
  <c r="B39" i="1"/>
  <c r="A39" i="1"/>
  <c r="K38" i="1"/>
  <c r="J38" i="1"/>
  <c r="I38" i="1"/>
  <c r="H38" i="1"/>
  <c r="G38" i="1"/>
  <c r="F38" i="1"/>
  <c r="E38" i="1"/>
  <c r="D38" i="1"/>
  <c r="B38" i="1"/>
  <c r="A38" i="1"/>
  <c r="K37" i="1"/>
  <c r="J37" i="1"/>
  <c r="I37" i="1"/>
  <c r="H37" i="1"/>
  <c r="G37" i="1"/>
  <c r="F37" i="1"/>
  <c r="E37" i="1"/>
  <c r="D37" i="1"/>
  <c r="B37" i="1"/>
  <c r="A37" i="1"/>
  <c r="K36" i="1"/>
  <c r="J36" i="1"/>
  <c r="I36" i="1"/>
  <c r="H36" i="1"/>
  <c r="G36" i="1"/>
  <c r="F36" i="1"/>
  <c r="E36" i="1"/>
  <c r="D36" i="1"/>
  <c r="B36" i="1"/>
  <c r="A36" i="1"/>
  <c r="K35" i="1"/>
  <c r="J35" i="1"/>
  <c r="I35" i="1"/>
  <c r="H35" i="1"/>
  <c r="G35" i="1"/>
  <c r="F35" i="1"/>
  <c r="E35" i="1"/>
  <c r="D35" i="1"/>
  <c r="B35" i="1"/>
  <c r="A35" i="1"/>
  <c r="K34" i="1"/>
  <c r="J34" i="1"/>
  <c r="I34" i="1"/>
  <c r="H34" i="1"/>
  <c r="G34" i="1"/>
  <c r="F34" i="1"/>
  <c r="E34" i="1"/>
  <c r="D34" i="1"/>
  <c r="B34" i="1"/>
  <c r="A34" i="1"/>
  <c r="K33" i="1"/>
  <c r="J33" i="1"/>
  <c r="I33" i="1"/>
  <c r="H33" i="1"/>
  <c r="G33" i="1"/>
  <c r="F33" i="1"/>
  <c r="E33" i="1"/>
  <c r="D33" i="1"/>
  <c r="B33" i="1"/>
  <c r="A33" i="1"/>
  <c r="K32" i="1"/>
  <c r="J32" i="1"/>
  <c r="I32" i="1"/>
  <c r="H32" i="1"/>
  <c r="G32" i="1"/>
  <c r="F32" i="1"/>
  <c r="E32" i="1"/>
  <c r="D32" i="1"/>
  <c r="B32" i="1"/>
  <c r="A32" i="1"/>
  <c r="K31" i="1"/>
  <c r="J31" i="1"/>
  <c r="I31" i="1"/>
  <c r="H31" i="1"/>
  <c r="G31" i="1"/>
  <c r="F31" i="1"/>
  <c r="E31" i="1"/>
  <c r="D31" i="1"/>
  <c r="B31" i="1"/>
  <c r="A31" i="1"/>
  <c r="K30" i="1"/>
  <c r="J30" i="1"/>
  <c r="I30" i="1"/>
  <c r="H30" i="1"/>
  <c r="G30" i="1"/>
  <c r="F30" i="1"/>
  <c r="E30" i="1"/>
  <c r="D30" i="1"/>
  <c r="B30" i="1"/>
  <c r="A30" i="1"/>
  <c r="K29" i="1"/>
  <c r="J29" i="1"/>
  <c r="I29" i="1"/>
  <c r="H29" i="1"/>
  <c r="G29" i="1"/>
  <c r="F29" i="1"/>
  <c r="E29" i="1"/>
  <c r="D29" i="1"/>
  <c r="B29" i="1"/>
  <c r="A29" i="1"/>
  <c r="K28" i="1"/>
  <c r="J28" i="1"/>
  <c r="I28" i="1"/>
  <c r="H28" i="1"/>
  <c r="G28" i="1"/>
  <c r="F28" i="1"/>
  <c r="E28" i="1"/>
  <c r="D28" i="1"/>
  <c r="B28" i="1"/>
  <c r="A28" i="1"/>
  <c r="K27" i="1"/>
  <c r="J27" i="1"/>
  <c r="I27" i="1"/>
  <c r="H27" i="1"/>
  <c r="G27" i="1"/>
  <c r="F27" i="1"/>
  <c r="E27" i="1"/>
  <c r="D27" i="1"/>
  <c r="B27" i="1"/>
  <c r="A27" i="1"/>
  <c r="K26" i="1"/>
  <c r="J26" i="1"/>
  <c r="I26" i="1"/>
  <c r="H26" i="1"/>
  <c r="G26" i="1"/>
  <c r="F26" i="1"/>
  <c r="E26" i="1"/>
  <c r="D26" i="1"/>
  <c r="B26" i="1"/>
  <c r="A26" i="1"/>
  <c r="K25" i="1"/>
  <c r="J25" i="1"/>
  <c r="I25" i="1"/>
  <c r="H25" i="1"/>
  <c r="G25" i="1"/>
  <c r="F25" i="1"/>
  <c r="E25" i="1"/>
  <c r="D25" i="1"/>
  <c r="B25" i="1"/>
  <c r="A25" i="1"/>
  <c r="K24" i="1"/>
  <c r="J24" i="1"/>
  <c r="I24" i="1"/>
  <c r="H24" i="1"/>
  <c r="G24" i="1"/>
  <c r="F24" i="1"/>
  <c r="E24" i="1"/>
  <c r="D24" i="1"/>
  <c r="B24" i="1"/>
  <c r="A24" i="1"/>
  <c r="K23" i="1"/>
  <c r="J23" i="1"/>
  <c r="I23" i="1"/>
  <c r="H23" i="1"/>
  <c r="G23" i="1"/>
  <c r="F23" i="1"/>
  <c r="E23" i="1"/>
  <c r="D23" i="1"/>
  <c r="B23" i="1"/>
  <c r="A23" i="1"/>
  <c r="K22" i="1"/>
  <c r="J22" i="1"/>
  <c r="I22" i="1"/>
  <c r="H22" i="1"/>
  <c r="G22" i="1"/>
  <c r="F22" i="1"/>
  <c r="E22" i="1"/>
  <c r="D22" i="1"/>
  <c r="B22" i="1"/>
  <c r="A22" i="1"/>
  <c r="K21" i="1"/>
  <c r="J21" i="1"/>
  <c r="I21" i="1"/>
  <c r="H21" i="1"/>
  <c r="G21" i="1"/>
  <c r="F21" i="1"/>
  <c r="E21" i="1"/>
  <c r="D21" i="1"/>
  <c r="B21" i="1"/>
  <c r="A21" i="1"/>
  <c r="K20" i="1"/>
  <c r="J20" i="1"/>
  <c r="I20" i="1"/>
  <c r="H20" i="1"/>
  <c r="G20" i="1"/>
  <c r="F20" i="1"/>
  <c r="E20" i="1"/>
  <c r="D20" i="1"/>
  <c r="B20" i="1"/>
  <c r="A20" i="1"/>
  <c r="K19" i="1"/>
  <c r="J19" i="1"/>
  <c r="I19" i="1"/>
  <c r="H19" i="1"/>
  <c r="G19" i="1"/>
  <c r="F19" i="1"/>
  <c r="E19" i="1"/>
  <c r="D19" i="1"/>
  <c r="B19" i="1"/>
  <c r="A19" i="1"/>
  <c r="K18" i="1"/>
  <c r="J18" i="1"/>
  <c r="I18" i="1"/>
  <c r="H18" i="1"/>
  <c r="G18" i="1"/>
  <c r="F18" i="1"/>
  <c r="E18" i="1"/>
  <c r="D18" i="1"/>
  <c r="B18" i="1"/>
  <c r="A18" i="1"/>
  <c r="K17" i="1"/>
  <c r="J17" i="1"/>
  <c r="I17" i="1"/>
  <c r="H17" i="1"/>
  <c r="G17" i="1"/>
  <c r="F17" i="1"/>
  <c r="E17" i="1"/>
  <c r="D17" i="1"/>
  <c r="B17" i="1"/>
  <c r="A17" i="1"/>
  <c r="K16" i="1"/>
  <c r="J16" i="1"/>
  <c r="I16" i="1"/>
  <c r="H16" i="1"/>
  <c r="G16" i="1"/>
  <c r="F16" i="1"/>
  <c r="E16" i="1"/>
  <c r="D16" i="1"/>
  <c r="B16" i="1"/>
  <c r="A16" i="1"/>
  <c r="K15" i="1"/>
  <c r="J15" i="1"/>
  <c r="I15" i="1"/>
  <c r="H15" i="1"/>
  <c r="G15" i="1"/>
  <c r="F15" i="1"/>
  <c r="E15" i="1"/>
  <c r="D15" i="1"/>
  <c r="B15" i="1"/>
  <c r="A15" i="1"/>
  <c r="K14" i="1"/>
  <c r="J14" i="1"/>
  <c r="I14" i="1"/>
  <c r="H14" i="1"/>
  <c r="G14" i="1"/>
  <c r="F14" i="1"/>
  <c r="E14" i="1"/>
  <c r="D14" i="1"/>
  <c r="B14" i="1"/>
  <c r="A14" i="1"/>
  <c r="K13" i="1"/>
  <c r="J13" i="1"/>
  <c r="I13" i="1"/>
  <c r="H13" i="1"/>
  <c r="G13" i="1"/>
  <c r="F13" i="1"/>
  <c r="E13" i="1"/>
  <c r="D13" i="1"/>
  <c r="B13" i="1"/>
  <c r="A13" i="1"/>
  <c r="K12" i="1"/>
  <c r="J12" i="1"/>
  <c r="I12" i="1"/>
  <c r="H12" i="1"/>
  <c r="G12" i="1"/>
  <c r="F12" i="1"/>
  <c r="E12" i="1"/>
  <c r="D12" i="1"/>
  <c r="B12" i="1"/>
  <c r="A12" i="1"/>
  <c r="K11" i="1"/>
  <c r="J11" i="1"/>
  <c r="I11" i="1"/>
  <c r="H11" i="1"/>
  <c r="G11" i="1"/>
  <c r="F11" i="1"/>
  <c r="E11" i="1"/>
  <c r="D11" i="1"/>
  <c r="B11" i="1"/>
  <c r="A11" i="1"/>
  <c r="K10" i="1"/>
  <c r="J10" i="1"/>
  <c r="I10" i="1"/>
  <c r="H10" i="1"/>
  <c r="G10" i="1"/>
  <c r="F10" i="1"/>
  <c r="E10" i="1"/>
  <c r="D10" i="1"/>
  <c r="B10" i="1"/>
  <c r="A10" i="1"/>
  <c r="K9" i="1"/>
  <c r="J9" i="1"/>
  <c r="I9" i="1"/>
  <c r="H9" i="1"/>
  <c r="G9" i="1"/>
  <c r="F9" i="1"/>
  <c r="E9" i="1"/>
  <c r="D9" i="1"/>
  <c r="B9" i="1"/>
  <c r="A9" i="1"/>
  <c r="K8" i="1"/>
  <c r="J8" i="1"/>
  <c r="I8" i="1"/>
  <c r="H8" i="1"/>
  <c r="G8" i="1"/>
  <c r="F8" i="1"/>
  <c r="E8" i="1"/>
  <c r="D8" i="1"/>
  <c r="B8" i="1"/>
  <c r="A8" i="1"/>
  <c r="K7" i="1"/>
  <c r="J7" i="1"/>
  <c r="I7" i="1"/>
  <c r="H7" i="1"/>
  <c r="G7" i="1"/>
  <c r="F7" i="1"/>
  <c r="E7" i="1"/>
  <c r="B7" i="1"/>
  <c r="A7" i="1"/>
  <c r="K6" i="1"/>
  <c r="J6" i="1"/>
  <c r="I6" i="1"/>
  <c r="H6" i="1"/>
  <c r="G6" i="1"/>
  <c r="F6" i="1"/>
  <c r="E6" i="1"/>
  <c r="D6" i="1"/>
  <c r="B6" i="1"/>
  <c r="A6" i="1"/>
</calcChain>
</file>

<file path=xl/sharedStrings.xml><?xml version="1.0" encoding="utf-8"?>
<sst xmlns="http://schemas.openxmlformats.org/spreadsheetml/2006/main" count="21" uniqueCount="16">
  <si>
    <t>CUSTOMER ADDRESS #</t>
  </si>
  <si>
    <t>JDE CUSTOMER FINISHED GOOD  NUMBER</t>
  </si>
  <si>
    <t>Branch Plant 1200</t>
  </si>
  <si>
    <t>Forecast Type</t>
  </si>
  <si>
    <t>STATUS</t>
  </si>
  <si>
    <t>DATE 1</t>
  </si>
  <si>
    <t xml:space="preserve">QTY 1 </t>
  </si>
  <si>
    <t>DATE 2</t>
  </si>
  <si>
    <t>QTY 2</t>
  </si>
  <si>
    <t>DATE 3</t>
  </si>
  <si>
    <t>QTY 3</t>
  </si>
  <si>
    <t>InventoryID</t>
  </si>
  <si>
    <t>QTY</t>
  </si>
  <si>
    <t>EF</t>
  </si>
  <si>
    <t xml:space="preserve">Branch Plant 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</si>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</sst>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 x14ac:knownFonts="1"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1" fontId="1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wrapText="1"/>
    </xf>
    <xf numFmtId="0" fontId="1" fillId="0" borderId="0" xfId="0" applyFont="1"/>
    <xf numFmtId="1" fontId="1" fillId="0" borderId="0" xfId="0" applyNumberFormat="1" applyFont="1"/>
    <xf numFmtId="0" fontId="1" fillId="0" borderId="0" xfId="0" applyFont="1" applyProtection="1">
      <protection locked="0"/>
    </xf>
    <xf numFmtId="164" fontId="1" fillId="0" borderId="0" xfId="0" applyNumberFormat="1" applyFont="1" applyProtection="1">
      <protection locked="0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Planning\FORECASTING%20DEPT\Forecasting%20Dept\Djula%20Skrgic\TARGET\2026\2026%20COLLAB%20FRCST\Target's%20Roll-out%20Form%202026%2006.17.26.xlsx" TargetMode="External"/><Relationship Id="rId1" Type="http://schemas.openxmlformats.org/officeDocument/2006/relationships/externalLinkPath" Target="file:///J:\Planning\FORECASTING%20DEPT\Forecasting%20Dept\Djula%20Skrgic\TARGET\2026\2026%20COLLAB%20FRCST\Target's%20Roll-out%20Form%202026%2006.17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ments"/>
      <sheetName val="FORECAST CHANGE FORM"/>
      <sheetName val="TICKET-PACKAGING INFO"/>
      <sheetName val="FORECAST UPLOAD"/>
    </sheetNames>
    <sheetDataSet>
      <sheetData sheetId="0">
        <row r="23">
          <cell r="J23" t="str">
            <v>1572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833A8-AB95-4C3F-B65F-63D4EE72E0CA}">
  <dimension ref="A5:AB55"/>
  <sheetViews>
    <sheetView tabSelected="1" topLeftCell="L1" workbookViewId="0">
      <selection activeCell="AB5" sqref="AB5"/>
    </sheetView>
  </sheetViews>
  <sheetFormatPr defaultColWidth="8.88671875" defaultRowHeight="15" x14ac:dyDescent="0.2"/>
  <cols>
    <col min="1" max="1" width="8.88671875" style="4"/>
    <col min="2" max="2" width="10.109375" style="4" bestFit="1" customWidth="1"/>
    <col min="3" max="3" width="4" style="4" bestFit="1" customWidth="1"/>
    <col min="4" max="5" width="8.88671875" style="4"/>
    <col min="6" max="6" width="6.33203125" style="8" bestFit="1" customWidth="1"/>
    <col min="7" max="7" width="6.109375" style="4" customWidth="1"/>
    <col min="8" max="8" width="8.88671875" style="8"/>
    <col min="9" max="9" width="5.6640625" style="4" customWidth="1"/>
    <col min="10" max="10" width="6.33203125" style="8" bestFit="1" customWidth="1"/>
    <col min="11" max="11" width="6.33203125" style="4" customWidth="1"/>
    <col min="12" max="16" width="8.88671875" style="4"/>
    <col min="17" max="18" width="19.21875" style="4" customWidth="1"/>
    <col min="19" max="19" width="6.33203125" style="4" bestFit="1" customWidth="1"/>
    <col min="20" max="20" width="4.88671875" style="4" bestFit="1" customWidth="1"/>
    <col min="21" max="24" width="8.88671875" style="4"/>
    <col min="25" max="25" width="10.109375" style="4" bestFit="1" customWidth="1"/>
    <col min="26" max="27" width="8.88671875" style="4"/>
    <col min="29" max="16384" width="8.88671875" style="4"/>
  </cols>
  <sheetData>
    <row r="5" spans="1:27" s="1" customFormat="1" ht="63.75" x14ac:dyDescent="0.2">
      <c r="A5" s="1" t="s">
        <v>0</v>
      </c>
      <c r="B5" s="2" t="s">
        <v>1</v>
      </c>
      <c r="C5" s="1" t="s">
        <v>2</v>
      </c>
      <c r="D5" s="1" t="s">
        <v>3</v>
      </c>
      <c r="E5" s="1" t="s">
        <v>4</v>
      </c>
      <c r="F5" s="3" t="s">
        <v>5</v>
      </c>
      <c r="G5" s="1" t="s">
        <v>6</v>
      </c>
      <c r="H5" s="3" t="s">
        <v>7</v>
      </c>
      <c r="I5" s="1" t="s">
        <v>8</v>
      </c>
      <c r="J5" s="3" t="s">
        <v>9</v>
      </c>
      <c r="K5" s="1" t="s">
        <v>10</v>
      </c>
      <c r="Q5" s="2" t="s">
        <v>11</v>
      </c>
      <c r="R5" s="1" t="s">
        <v>3</v>
      </c>
      <c r="S5" s="3" t="s">
        <v>15</v>
      </c>
      <c r="T5" s="1" t="s">
        <v>12</v>
      </c>
      <c r="Y5" s="2" t="s">
        <v>11</v>
      </c>
      <c r="Z5" s="1" t="s">
        <v>14</v>
      </c>
      <c r="AA5" s="1" t="s">
        <v>4</v>
      </c>
    </row>
    <row r="6" spans="1:27" x14ac:dyDescent="0.2">
      <c r="A6" s="4">
        <f>IF([1]Shipments!$E$7=0,0,[1]Shipments!$E$7)</f>
        <v>0</v>
      </c>
      <c r="B6" s="5">
        <f>[1]Shipments!Q22</f>
        <v>0</v>
      </c>
      <c r="C6" s="4">
        <v>1200</v>
      </c>
      <c r="D6" s="4">
        <f>IF([1]Shipments!J22=0,0,"EF")</f>
        <v>0</v>
      </c>
      <c r="E6" s="6" t="str">
        <f>IF([1]Shipments!C22="promo","C","B")</f>
        <v>B</v>
      </c>
      <c r="F6" s="7">
        <f>[1]Shipments!$E$9</f>
        <v>0</v>
      </c>
      <c r="G6" s="5">
        <f>[1]Shipments!J22</f>
        <v>0</v>
      </c>
      <c r="H6" s="7">
        <f>[1]Shipments!$K$20</f>
        <v>0</v>
      </c>
      <c r="I6" s="5">
        <f>[1]Shipments!K22</f>
        <v>0</v>
      </c>
      <c r="J6" s="7">
        <f>[1]Shipments!$L$20</f>
        <v>0</v>
      </c>
      <c r="K6" s="5">
        <f>[1]Shipments!L22</f>
        <v>0</v>
      </c>
      <c r="Q6" s="5">
        <v>267365033161</v>
      </c>
      <c r="R6" s="4" t="s">
        <v>13</v>
      </c>
      <c r="S6" s="7">
        <v>46296</v>
      </c>
      <c r="T6" s="5">
        <v>1800</v>
      </c>
      <c r="Y6" s="5">
        <v>267365033161</v>
      </c>
      <c r="Z6" s="4">
        <v>1200</v>
      </c>
      <c r="AA6" s="6" t="str">
        <f>IF([1]Shipments!Y22="promo","C","B")</f>
        <v>B</v>
      </c>
    </row>
    <row r="7" spans="1:27" x14ac:dyDescent="0.2">
      <c r="A7" s="4">
        <f>IF([1]Shipments!$E$7=0,0,[1]Shipments!$E$7)</f>
        <v>0</v>
      </c>
      <c r="B7" s="5">
        <f>[1]Shipments!Q23</f>
        <v>0</v>
      </c>
      <c r="C7" s="4">
        <v>1200</v>
      </c>
      <c r="D7" s="4" t="str">
        <f>IF([1]Shipments!J23=0,0,"EF")</f>
        <v>EF</v>
      </c>
      <c r="E7" s="6" t="str">
        <f>IF([1]Shipments!C23="promo","C","B")</f>
        <v>B</v>
      </c>
      <c r="F7" s="7">
        <f>[1]Shipments!$E$9</f>
        <v>0</v>
      </c>
      <c r="G7" s="5" t="str">
        <f>[1]Shipments!J23</f>
        <v>1572</v>
      </c>
      <c r="H7" s="7">
        <f>[1]Shipments!$K$20</f>
        <v>0</v>
      </c>
      <c r="I7" s="5">
        <f>[1]Shipments!K23</f>
        <v>0</v>
      </c>
      <c r="J7" s="7">
        <f>[1]Shipments!$L$20</f>
        <v>0</v>
      </c>
      <c r="K7" s="5">
        <f>[1]Shipments!L23</f>
        <v>0</v>
      </c>
      <c r="Q7" s="5">
        <v>268084013161</v>
      </c>
      <c r="R7" s="4" t="s">
        <v>13</v>
      </c>
      <c r="S7" s="7">
        <v>46296</v>
      </c>
      <c r="T7" s="5">
        <v>8050</v>
      </c>
      <c r="Y7" s="5">
        <v>268084013161</v>
      </c>
      <c r="Z7" s="4">
        <v>1200</v>
      </c>
      <c r="AA7" s="6" t="str">
        <f>IF([1]Shipments!Y23="promo","C","B")</f>
        <v>B</v>
      </c>
    </row>
    <row r="8" spans="1:27" x14ac:dyDescent="0.2">
      <c r="A8" s="4">
        <f>IF([1]Shipments!$E$7=0,0,[1]Shipments!$E$7)</f>
        <v>0</v>
      </c>
      <c r="B8" s="5">
        <f>[1]Shipments!Q24</f>
        <v>0</v>
      </c>
      <c r="C8" s="4">
        <v>1200</v>
      </c>
      <c r="D8" s="4">
        <f>IF([1]Shipments!J24=0,0,"EF")</f>
        <v>0</v>
      </c>
      <c r="E8" s="6" t="str">
        <f>IF([1]Shipments!C24="promo","C","B")</f>
        <v>B</v>
      </c>
      <c r="F8" s="7">
        <f>[1]Shipments!$E$9</f>
        <v>0</v>
      </c>
      <c r="G8" s="5">
        <f>[1]Shipments!J24</f>
        <v>0</v>
      </c>
      <c r="H8" s="7">
        <f>[1]Shipments!$K$20</f>
        <v>0</v>
      </c>
      <c r="I8" s="5">
        <f>[1]Shipments!K24</f>
        <v>0</v>
      </c>
      <c r="J8" s="7">
        <f>[1]Shipments!$L$20</f>
        <v>0</v>
      </c>
      <c r="K8" s="5">
        <f>[1]Shipments!L24</f>
        <v>0</v>
      </c>
      <c r="Q8" s="5">
        <v>267525023161</v>
      </c>
      <c r="R8" s="4" t="s">
        <v>13</v>
      </c>
      <c r="S8" s="7">
        <v>46296</v>
      </c>
      <c r="T8" s="5">
        <v>1000</v>
      </c>
      <c r="Y8" s="5">
        <v>267525023161</v>
      </c>
      <c r="Z8" s="4">
        <v>1200</v>
      </c>
      <c r="AA8" s="6" t="str">
        <f>IF([1]Shipments!Y24="promo","C","B")</f>
        <v>B</v>
      </c>
    </row>
    <row r="9" spans="1:27" x14ac:dyDescent="0.2">
      <c r="A9" s="4">
        <f>IF([1]Shipments!$E$7=0,0,[1]Shipments!$E$7)</f>
        <v>0</v>
      </c>
      <c r="B9" s="5">
        <f>[1]Shipments!Q25</f>
        <v>0</v>
      </c>
      <c r="C9" s="4">
        <v>1200</v>
      </c>
      <c r="D9" s="4">
        <f>IF([1]Shipments!J25=0,0,"EF")</f>
        <v>0</v>
      </c>
      <c r="E9" s="6" t="str">
        <f>IF([1]Shipments!C25="promo","C","B")</f>
        <v>B</v>
      </c>
      <c r="F9" s="7">
        <f>[1]Shipments!$E$9</f>
        <v>0</v>
      </c>
      <c r="G9" s="5">
        <f>[1]Shipments!J25</f>
        <v>0</v>
      </c>
      <c r="H9" s="7">
        <f>[1]Shipments!$K$20</f>
        <v>0</v>
      </c>
      <c r="I9" s="5">
        <f>[1]Shipments!K25</f>
        <v>0</v>
      </c>
      <c r="J9" s="7">
        <f>[1]Shipments!$L$20</f>
        <v>0</v>
      </c>
      <c r="K9" s="5">
        <f>[1]Shipments!L25</f>
        <v>0</v>
      </c>
    </row>
    <row r="10" spans="1:27" x14ac:dyDescent="0.2">
      <c r="A10" s="4">
        <f>IF([1]Shipments!$E$7=0,0,[1]Shipments!$E$7)</f>
        <v>0</v>
      </c>
      <c r="B10" s="5">
        <f>[1]Shipments!Q26</f>
        <v>0</v>
      </c>
      <c r="C10" s="4">
        <v>1200</v>
      </c>
      <c r="D10" s="4">
        <f>IF([1]Shipments!J26=0,0,"EF")</f>
        <v>0</v>
      </c>
      <c r="E10" s="6" t="str">
        <f>IF([1]Shipments!C26="promo","C","B")</f>
        <v>B</v>
      </c>
      <c r="F10" s="7">
        <f>[1]Shipments!$E$9</f>
        <v>0</v>
      </c>
      <c r="G10" s="5">
        <f>[1]Shipments!J26</f>
        <v>0</v>
      </c>
      <c r="H10" s="7">
        <f>[1]Shipments!$K$20</f>
        <v>0</v>
      </c>
      <c r="I10" s="5">
        <f>[1]Shipments!K26</f>
        <v>0</v>
      </c>
      <c r="J10" s="7">
        <f>[1]Shipments!$L$20</f>
        <v>0</v>
      </c>
      <c r="K10" s="5">
        <f>[1]Shipments!L26</f>
        <v>0</v>
      </c>
    </row>
    <row r="11" spans="1:27" x14ac:dyDescent="0.2">
      <c r="A11" s="4">
        <f>IF([1]Shipments!$E$7=0,0,[1]Shipments!$E$7)</f>
        <v>0</v>
      </c>
      <c r="B11" s="5">
        <f>[1]Shipments!Q27</f>
        <v>0</v>
      </c>
      <c r="C11" s="4">
        <v>1200</v>
      </c>
      <c r="D11" s="4">
        <f>IF([1]Shipments!J27=0,0,"EF")</f>
        <v>0</v>
      </c>
      <c r="E11" s="6" t="str">
        <f>IF([1]Shipments!C27="promo","C","B")</f>
        <v>B</v>
      </c>
      <c r="F11" s="7">
        <f>[1]Shipments!$E$9</f>
        <v>0</v>
      </c>
      <c r="G11" s="5">
        <f>[1]Shipments!J27</f>
        <v>0</v>
      </c>
      <c r="H11" s="7">
        <f>[1]Shipments!$K$20</f>
        <v>0</v>
      </c>
      <c r="I11" s="5">
        <f>[1]Shipments!K27</f>
        <v>0</v>
      </c>
      <c r="J11" s="7">
        <f>[1]Shipments!$L$20</f>
        <v>0</v>
      </c>
      <c r="K11" s="5">
        <f>[1]Shipments!L27</f>
        <v>0</v>
      </c>
    </row>
    <row r="12" spans="1:27" x14ac:dyDescent="0.2">
      <c r="A12" s="4">
        <f>IF([1]Shipments!$E$7=0,0,[1]Shipments!$E$7)</f>
        <v>0</v>
      </c>
      <c r="B12" s="5">
        <f>[1]Shipments!Q28</f>
        <v>0</v>
      </c>
      <c r="C12" s="4">
        <v>1200</v>
      </c>
      <c r="D12" s="4">
        <f>IF([1]Shipments!J28=0,0,"EF")</f>
        <v>0</v>
      </c>
      <c r="E12" s="6" t="str">
        <f>IF([1]Shipments!C28="promo","C","B")</f>
        <v>B</v>
      </c>
      <c r="F12" s="7">
        <f>[1]Shipments!$E$9</f>
        <v>0</v>
      </c>
      <c r="G12" s="5">
        <f>[1]Shipments!J28</f>
        <v>0</v>
      </c>
      <c r="H12" s="7">
        <f>[1]Shipments!$K$20</f>
        <v>0</v>
      </c>
      <c r="I12" s="5">
        <f>[1]Shipments!K28</f>
        <v>0</v>
      </c>
      <c r="J12" s="7">
        <f>[1]Shipments!$L$20</f>
        <v>0</v>
      </c>
      <c r="K12" s="5">
        <f>[1]Shipments!L28</f>
        <v>0</v>
      </c>
    </row>
    <row r="13" spans="1:27" x14ac:dyDescent="0.2">
      <c r="A13" s="4">
        <f>IF([1]Shipments!$E$7=0,0,[1]Shipments!$E$7)</f>
        <v>0</v>
      </c>
      <c r="B13" s="5">
        <f>[1]Shipments!Q29</f>
        <v>0</v>
      </c>
      <c r="C13" s="4">
        <v>1200</v>
      </c>
      <c r="D13" s="4">
        <f>IF([1]Shipments!J29=0,0,"EF")</f>
        <v>0</v>
      </c>
      <c r="E13" s="6" t="str">
        <f>IF([1]Shipments!C29="promo","C","B")</f>
        <v>B</v>
      </c>
      <c r="F13" s="7">
        <f>[1]Shipments!$E$9</f>
        <v>0</v>
      </c>
      <c r="G13" s="5">
        <f>[1]Shipments!J29</f>
        <v>0</v>
      </c>
      <c r="H13" s="7">
        <f>[1]Shipments!$K$20</f>
        <v>0</v>
      </c>
      <c r="I13" s="5">
        <f>[1]Shipments!K29</f>
        <v>0</v>
      </c>
      <c r="J13" s="7">
        <f>[1]Shipments!$L$20</f>
        <v>0</v>
      </c>
      <c r="K13" s="5">
        <f>[1]Shipments!L29</f>
        <v>0</v>
      </c>
    </row>
    <row r="14" spans="1:27" x14ac:dyDescent="0.2">
      <c r="A14" s="4">
        <f>IF([1]Shipments!$E$7=0,0,[1]Shipments!$E$7)</f>
        <v>0</v>
      </c>
      <c r="B14" s="5">
        <f>[1]Shipments!Q30</f>
        <v>0</v>
      </c>
      <c r="C14" s="4">
        <v>1200</v>
      </c>
      <c r="D14" s="4">
        <f>IF([1]Shipments!J30=0,0,"EF")</f>
        <v>0</v>
      </c>
      <c r="E14" s="6" t="str">
        <f>IF([1]Shipments!C30="promo","C","B")</f>
        <v>B</v>
      </c>
      <c r="F14" s="7">
        <f>[1]Shipments!$E$9</f>
        <v>0</v>
      </c>
      <c r="G14" s="5">
        <f>[1]Shipments!J30</f>
        <v>0</v>
      </c>
      <c r="H14" s="7">
        <f>[1]Shipments!$K$20</f>
        <v>0</v>
      </c>
      <c r="I14" s="5">
        <f>[1]Shipments!K30</f>
        <v>0</v>
      </c>
      <c r="J14" s="7">
        <f>[1]Shipments!$L$20</f>
        <v>0</v>
      </c>
      <c r="K14" s="5">
        <f>[1]Shipments!L30</f>
        <v>0</v>
      </c>
    </row>
    <row r="15" spans="1:27" x14ac:dyDescent="0.2">
      <c r="A15" s="4">
        <f>IF([1]Shipments!$E$7=0,0,[1]Shipments!$E$7)</f>
        <v>0</v>
      </c>
      <c r="B15" s="5">
        <f>[1]Shipments!Q31</f>
        <v>0</v>
      </c>
      <c r="C15" s="4">
        <v>1200</v>
      </c>
      <c r="D15" s="4">
        <f>IF([1]Shipments!J31=0,0,"EF")</f>
        <v>0</v>
      </c>
      <c r="E15" s="6" t="str">
        <f>IF([1]Shipments!C31="promo","C","B")</f>
        <v>B</v>
      </c>
      <c r="F15" s="7">
        <f>[1]Shipments!$E$9</f>
        <v>0</v>
      </c>
      <c r="G15" s="5">
        <f>[1]Shipments!J31</f>
        <v>0</v>
      </c>
      <c r="H15" s="7">
        <f>[1]Shipments!$K$20</f>
        <v>0</v>
      </c>
      <c r="I15" s="5">
        <f>[1]Shipments!K31</f>
        <v>0</v>
      </c>
      <c r="J15" s="7">
        <f>[1]Shipments!$L$20</f>
        <v>0</v>
      </c>
      <c r="K15" s="5">
        <f>[1]Shipments!L31</f>
        <v>0</v>
      </c>
    </row>
    <row r="16" spans="1:27" x14ac:dyDescent="0.2">
      <c r="A16" s="4">
        <f>IF([1]Shipments!$E$7=0,0,[1]Shipments!$E$7)</f>
        <v>0</v>
      </c>
      <c r="B16" s="5">
        <f>[1]Shipments!Q32</f>
        <v>0</v>
      </c>
      <c r="C16" s="4">
        <v>1200</v>
      </c>
      <c r="D16" s="4">
        <f>IF([1]Shipments!J32=0,0,"EF")</f>
        <v>0</v>
      </c>
      <c r="E16" s="6" t="str">
        <f>IF([1]Shipments!C32="promo","C","B")</f>
        <v>B</v>
      </c>
      <c r="F16" s="7">
        <f>[1]Shipments!$E$9</f>
        <v>0</v>
      </c>
      <c r="G16" s="5">
        <f>[1]Shipments!J32</f>
        <v>0</v>
      </c>
      <c r="H16" s="7">
        <f>[1]Shipments!$K$20</f>
        <v>0</v>
      </c>
      <c r="I16" s="5">
        <f>[1]Shipments!K32</f>
        <v>0</v>
      </c>
      <c r="J16" s="7">
        <f>[1]Shipments!$L$20</f>
        <v>0</v>
      </c>
      <c r="K16" s="5">
        <f>[1]Shipments!L32</f>
        <v>0</v>
      </c>
    </row>
    <row r="17" spans="1:11" x14ac:dyDescent="0.2">
      <c r="A17" s="4">
        <f>IF([1]Shipments!$E$7=0,0,[1]Shipments!$E$7)</f>
        <v>0</v>
      </c>
      <c r="B17" s="5">
        <f>[1]Shipments!Q33</f>
        <v>0</v>
      </c>
      <c r="C17" s="4">
        <v>1200</v>
      </c>
      <c r="D17" s="4">
        <f>IF([1]Shipments!J33=0,0,"EF")</f>
        <v>0</v>
      </c>
      <c r="E17" s="6" t="str">
        <f>IF([1]Shipments!C33="promo","C","B")</f>
        <v>B</v>
      </c>
      <c r="F17" s="7">
        <f>[1]Shipments!$E$9</f>
        <v>0</v>
      </c>
      <c r="G17" s="5">
        <f>[1]Shipments!J33</f>
        <v>0</v>
      </c>
      <c r="H17" s="7">
        <f>[1]Shipments!$K$20</f>
        <v>0</v>
      </c>
      <c r="I17" s="5">
        <f>[1]Shipments!K33</f>
        <v>0</v>
      </c>
      <c r="J17" s="7">
        <f>[1]Shipments!$L$20</f>
        <v>0</v>
      </c>
      <c r="K17" s="5">
        <f>[1]Shipments!L33</f>
        <v>0</v>
      </c>
    </row>
    <row r="18" spans="1:11" x14ac:dyDescent="0.2">
      <c r="A18" s="4">
        <f>IF([1]Shipments!$E$7=0,0,[1]Shipments!$E$7)</f>
        <v>0</v>
      </c>
      <c r="B18" s="5">
        <f>[1]Shipments!Q34</f>
        <v>0</v>
      </c>
      <c r="C18" s="4">
        <v>1200</v>
      </c>
      <c r="D18" s="4">
        <f>IF([1]Shipments!J34=0,0,"EF")</f>
        <v>0</v>
      </c>
      <c r="E18" s="6" t="str">
        <f>IF([1]Shipments!C34="promo","C","B")</f>
        <v>B</v>
      </c>
      <c r="F18" s="7">
        <f>[1]Shipments!$E$9</f>
        <v>0</v>
      </c>
      <c r="G18" s="5">
        <f>[1]Shipments!J34</f>
        <v>0</v>
      </c>
      <c r="H18" s="7">
        <f>[1]Shipments!$K$20</f>
        <v>0</v>
      </c>
      <c r="I18" s="5">
        <f>[1]Shipments!K34</f>
        <v>0</v>
      </c>
      <c r="J18" s="7">
        <f>[1]Shipments!$L$20</f>
        <v>0</v>
      </c>
      <c r="K18" s="5">
        <f>[1]Shipments!L34</f>
        <v>0</v>
      </c>
    </row>
    <row r="19" spans="1:11" x14ac:dyDescent="0.2">
      <c r="A19" s="4">
        <f>IF([1]Shipments!$E$7=0,0,[1]Shipments!$E$7)</f>
        <v>0</v>
      </c>
      <c r="B19" s="5">
        <f>[1]Shipments!Q35</f>
        <v>0</v>
      </c>
      <c r="C19" s="4">
        <v>1200</v>
      </c>
      <c r="D19" s="4">
        <f>IF([1]Shipments!J35=0,0,"EF")</f>
        <v>0</v>
      </c>
      <c r="E19" s="6" t="str">
        <f>IF([1]Shipments!C35="promo","C","B")</f>
        <v>B</v>
      </c>
      <c r="F19" s="7">
        <f>[1]Shipments!$E$9</f>
        <v>0</v>
      </c>
      <c r="G19" s="5">
        <f>[1]Shipments!J35</f>
        <v>0</v>
      </c>
      <c r="H19" s="7">
        <f>[1]Shipments!$K$20</f>
        <v>0</v>
      </c>
      <c r="I19" s="5">
        <f>[1]Shipments!K35</f>
        <v>0</v>
      </c>
      <c r="J19" s="7">
        <f>[1]Shipments!$L$20</f>
        <v>0</v>
      </c>
      <c r="K19" s="5">
        <f>[1]Shipments!L35</f>
        <v>0</v>
      </c>
    </row>
    <row r="20" spans="1:11" x14ac:dyDescent="0.2">
      <c r="A20" s="4">
        <f>IF([1]Shipments!$E$7=0,0,[1]Shipments!$E$7)</f>
        <v>0</v>
      </c>
      <c r="B20" s="5">
        <f>[1]Shipments!Q36</f>
        <v>0</v>
      </c>
      <c r="C20" s="4">
        <v>1200</v>
      </c>
      <c r="D20" s="4">
        <f>IF([1]Shipments!J36=0,0,"EF")</f>
        <v>0</v>
      </c>
      <c r="E20" s="6" t="str">
        <f>IF([1]Shipments!C36="promo","C","B")</f>
        <v>B</v>
      </c>
      <c r="F20" s="7">
        <f>[1]Shipments!$E$9</f>
        <v>0</v>
      </c>
      <c r="G20" s="5">
        <f>[1]Shipments!J36</f>
        <v>0</v>
      </c>
      <c r="H20" s="7">
        <f>[1]Shipments!$K$20</f>
        <v>0</v>
      </c>
      <c r="I20" s="5">
        <f>[1]Shipments!K36</f>
        <v>0</v>
      </c>
      <c r="J20" s="7">
        <f>[1]Shipments!$L$20</f>
        <v>0</v>
      </c>
      <c r="K20" s="5">
        <f>[1]Shipments!L36</f>
        <v>0</v>
      </c>
    </row>
    <row r="21" spans="1:11" x14ac:dyDescent="0.2">
      <c r="A21" s="4">
        <f>IF([1]Shipments!$E$7=0,0,[1]Shipments!$E$7)</f>
        <v>0</v>
      </c>
      <c r="B21" s="5">
        <f>[1]Shipments!Q37</f>
        <v>0</v>
      </c>
      <c r="C21" s="4">
        <v>1200</v>
      </c>
      <c r="D21" s="4">
        <f>IF([1]Shipments!J37=0,0,"EF")</f>
        <v>0</v>
      </c>
      <c r="E21" s="6" t="str">
        <f>IF([1]Shipments!C37="promo","C","B")</f>
        <v>B</v>
      </c>
      <c r="F21" s="7">
        <f>[1]Shipments!$E$9</f>
        <v>0</v>
      </c>
      <c r="G21" s="5">
        <f>[1]Shipments!J37</f>
        <v>0</v>
      </c>
      <c r="H21" s="7">
        <f>[1]Shipments!$K$20</f>
        <v>0</v>
      </c>
      <c r="I21" s="5">
        <f>[1]Shipments!K37</f>
        <v>0</v>
      </c>
      <c r="J21" s="7">
        <f>[1]Shipments!$L$20</f>
        <v>0</v>
      </c>
      <c r="K21" s="5">
        <f>[1]Shipments!L37</f>
        <v>0</v>
      </c>
    </row>
    <row r="22" spans="1:11" x14ac:dyDescent="0.2">
      <c r="A22" s="4">
        <f>IF([1]Shipments!$E$7=0,0,[1]Shipments!$E$7)</f>
        <v>0</v>
      </c>
      <c r="B22" s="5">
        <f>[1]Shipments!Q38</f>
        <v>0</v>
      </c>
      <c r="C22" s="4">
        <v>1200</v>
      </c>
      <c r="D22" s="4">
        <f>IF([1]Shipments!J38=0,0,"EF")</f>
        <v>0</v>
      </c>
      <c r="E22" s="6" t="str">
        <f>IF([1]Shipments!C38="promo","C","B")</f>
        <v>B</v>
      </c>
      <c r="F22" s="7">
        <f>[1]Shipments!$E$9</f>
        <v>0</v>
      </c>
      <c r="G22" s="5">
        <f>[1]Shipments!J38</f>
        <v>0</v>
      </c>
      <c r="H22" s="7">
        <f>[1]Shipments!$K$20</f>
        <v>0</v>
      </c>
      <c r="I22" s="5">
        <f>[1]Shipments!K38</f>
        <v>0</v>
      </c>
      <c r="J22" s="7">
        <f>[1]Shipments!$L$20</f>
        <v>0</v>
      </c>
      <c r="K22" s="5">
        <f>[1]Shipments!L38</f>
        <v>0</v>
      </c>
    </row>
    <row r="23" spans="1:11" x14ac:dyDescent="0.2">
      <c r="A23" s="4">
        <f>IF([1]Shipments!$E$7=0,0,[1]Shipments!$E$7)</f>
        <v>0</v>
      </c>
      <c r="B23" s="5">
        <f>[1]Shipments!Q39</f>
        <v>0</v>
      </c>
      <c r="C23" s="4">
        <v>1200</v>
      </c>
      <c r="D23" s="4">
        <f>IF([1]Shipments!J39=0,0,"EF")</f>
        <v>0</v>
      </c>
      <c r="E23" s="6" t="str">
        <f>IF([1]Shipments!C39="promo","C","B")</f>
        <v>B</v>
      </c>
      <c r="F23" s="7">
        <f>[1]Shipments!$E$9</f>
        <v>0</v>
      </c>
      <c r="G23" s="5">
        <f>[1]Shipments!J39</f>
        <v>0</v>
      </c>
      <c r="H23" s="7">
        <f>[1]Shipments!$K$20</f>
        <v>0</v>
      </c>
      <c r="I23" s="5">
        <f>[1]Shipments!K39</f>
        <v>0</v>
      </c>
      <c r="J23" s="7">
        <f>[1]Shipments!$L$20</f>
        <v>0</v>
      </c>
      <c r="K23" s="5">
        <f>[1]Shipments!L39</f>
        <v>0</v>
      </c>
    </row>
    <row r="24" spans="1:11" x14ac:dyDescent="0.2">
      <c r="A24" s="4">
        <f>IF([1]Shipments!$E$7=0,0,[1]Shipments!$E$7)</f>
        <v>0</v>
      </c>
      <c r="B24" s="5">
        <f>[1]Shipments!Q40</f>
        <v>0</v>
      </c>
      <c r="C24" s="4">
        <v>1200</v>
      </c>
      <c r="D24" s="4">
        <f>IF([1]Shipments!J40=0,0,"EF")</f>
        <v>0</v>
      </c>
      <c r="E24" s="6" t="str">
        <f>IF([1]Shipments!C40="promo","C","B")</f>
        <v>B</v>
      </c>
      <c r="F24" s="7">
        <f>[1]Shipments!$E$9</f>
        <v>0</v>
      </c>
      <c r="G24" s="5">
        <f>[1]Shipments!J40</f>
        <v>0</v>
      </c>
      <c r="H24" s="7">
        <f>[1]Shipments!$K$20</f>
        <v>0</v>
      </c>
      <c r="I24" s="5">
        <f>[1]Shipments!K40</f>
        <v>0</v>
      </c>
      <c r="J24" s="7">
        <f>[1]Shipments!$L$20</f>
        <v>0</v>
      </c>
      <c r="K24" s="5">
        <f>[1]Shipments!L40</f>
        <v>0</v>
      </c>
    </row>
    <row r="25" spans="1:11" x14ac:dyDescent="0.2">
      <c r="A25" s="4">
        <f>IF([1]Shipments!$E$7=0,0,[1]Shipments!$E$7)</f>
        <v>0</v>
      </c>
      <c r="B25" s="5">
        <f>[1]Shipments!Q41</f>
        <v>0</v>
      </c>
      <c r="C25" s="4">
        <v>1200</v>
      </c>
      <c r="D25" s="4">
        <f>IF([1]Shipments!J41=0,0,"EF")</f>
        <v>0</v>
      </c>
      <c r="E25" s="6" t="str">
        <f>IF([1]Shipments!C41="promo","C","B")</f>
        <v>B</v>
      </c>
      <c r="F25" s="7">
        <f>[1]Shipments!$E$9</f>
        <v>0</v>
      </c>
      <c r="G25" s="5">
        <f>[1]Shipments!J41</f>
        <v>0</v>
      </c>
      <c r="H25" s="7">
        <f>[1]Shipments!$K$20</f>
        <v>0</v>
      </c>
      <c r="I25" s="5">
        <f>[1]Shipments!K41</f>
        <v>0</v>
      </c>
      <c r="J25" s="7">
        <f>[1]Shipments!$L$20</f>
        <v>0</v>
      </c>
      <c r="K25" s="5">
        <f>[1]Shipments!L41</f>
        <v>0</v>
      </c>
    </row>
    <row r="26" spans="1:11" x14ac:dyDescent="0.2">
      <c r="A26" s="4">
        <f>IF([1]Shipments!$E$7=0,0,[1]Shipments!$E$7)</f>
        <v>0</v>
      </c>
      <c r="B26" s="5">
        <f>[1]Shipments!Q42</f>
        <v>0</v>
      </c>
      <c r="C26" s="4">
        <v>1200</v>
      </c>
      <c r="D26" s="4">
        <f>IF([1]Shipments!J42=0,0,"EF")</f>
        <v>0</v>
      </c>
      <c r="E26" s="6" t="str">
        <f>IF([1]Shipments!C42="promo","C","B")</f>
        <v>B</v>
      </c>
      <c r="F26" s="7">
        <f>[1]Shipments!$E$9</f>
        <v>0</v>
      </c>
      <c r="G26" s="5">
        <f>[1]Shipments!J42</f>
        <v>0</v>
      </c>
      <c r="H26" s="7">
        <f>[1]Shipments!$K$20</f>
        <v>0</v>
      </c>
      <c r="I26" s="5">
        <f>[1]Shipments!K42</f>
        <v>0</v>
      </c>
      <c r="J26" s="7">
        <f>[1]Shipments!$L$20</f>
        <v>0</v>
      </c>
      <c r="K26" s="5">
        <f>[1]Shipments!L42</f>
        <v>0</v>
      </c>
    </row>
    <row r="27" spans="1:11" x14ac:dyDescent="0.2">
      <c r="A27" s="4">
        <f>IF([1]Shipments!$E$7=0,0,[1]Shipments!$E$7)</f>
        <v>0</v>
      </c>
      <c r="B27" s="5">
        <f>[1]Shipments!Q43</f>
        <v>0</v>
      </c>
      <c r="C27" s="4">
        <v>1200</v>
      </c>
      <c r="D27" s="4">
        <f>IF([1]Shipments!J43=0,0,"EF")</f>
        <v>0</v>
      </c>
      <c r="E27" s="6" t="str">
        <f>IF([1]Shipments!C43="promo","C","B")</f>
        <v>B</v>
      </c>
      <c r="F27" s="7">
        <f>[1]Shipments!$E$9</f>
        <v>0</v>
      </c>
      <c r="G27" s="5">
        <f>[1]Shipments!J43</f>
        <v>0</v>
      </c>
      <c r="H27" s="7">
        <f>[1]Shipments!$K$20</f>
        <v>0</v>
      </c>
      <c r="I27" s="5">
        <f>[1]Shipments!K43</f>
        <v>0</v>
      </c>
      <c r="J27" s="7">
        <f>[1]Shipments!$L$20</f>
        <v>0</v>
      </c>
      <c r="K27" s="5">
        <f>[1]Shipments!L43</f>
        <v>0</v>
      </c>
    </row>
    <row r="28" spans="1:11" x14ac:dyDescent="0.2">
      <c r="A28" s="4">
        <f>IF([1]Shipments!$E$7=0,0,[1]Shipments!$E$7)</f>
        <v>0</v>
      </c>
      <c r="B28" s="5">
        <f>[1]Shipments!Q44</f>
        <v>0</v>
      </c>
      <c r="C28" s="4">
        <v>1200</v>
      </c>
      <c r="D28" s="4">
        <f>IF([1]Shipments!J44=0,0,"EF")</f>
        <v>0</v>
      </c>
      <c r="E28" s="6" t="str">
        <f>IF([1]Shipments!C44="promo","C","B")</f>
        <v>B</v>
      </c>
      <c r="F28" s="7">
        <f>[1]Shipments!$E$9</f>
        <v>0</v>
      </c>
      <c r="G28" s="5">
        <f>[1]Shipments!J44</f>
        <v>0</v>
      </c>
      <c r="H28" s="7">
        <f>[1]Shipments!$K$20</f>
        <v>0</v>
      </c>
      <c r="I28" s="5">
        <f>[1]Shipments!K44</f>
        <v>0</v>
      </c>
      <c r="J28" s="7">
        <f>[1]Shipments!$L$20</f>
        <v>0</v>
      </c>
      <c r="K28" s="5">
        <f>[1]Shipments!L44</f>
        <v>0</v>
      </c>
    </row>
    <row r="29" spans="1:11" x14ac:dyDescent="0.2">
      <c r="A29" s="4">
        <f>IF([1]Shipments!$E$7=0,0,[1]Shipments!$E$7)</f>
        <v>0</v>
      </c>
      <c r="B29" s="5">
        <f>[1]Shipments!Q45</f>
        <v>0</v>
      </c>
      <c r="C29" s="4">
        <v>1200</v>
      </c>
      <c r="D29" s="4">
        <f>IF([1]Shipments!J45=0,0,"EF")</f>
        <v>0</v>
      </c>
      <c r="E29" s="6" t="str">
        <f>IF([1]Shipments!C45="promo","C","B")</f>
        <v>B</v>
      </c>
      <c r="F29" s="7">
        <f>[1]Shipments!$E$9</f>
        <v>0</v>
      </c>
      <c r="G29" s="5">
        <f>[1]Shipments!J45</f>
        <v>0</v>
      </c>
      <c r="H29" s="7">
        <f>[1]Shipments!$K$20</f>
        <v>0</v>
      </c>
      <c r="I29" s="5">
        <f>[1]Shipments!K45</f>
        <v>0</v>
      </c>
      <c r="J29" s="7">
        <f>[1]Shipments!$L$20</f>
        <v>0</v>
      </c>
      <c r="K29" s="5">
        <f>[1]Shipments!L45</f>
        <v>0</v>
      </c>
    </row>
    <row r="30" spans="1:11" x14ac:dyDescent="0.2">
      <c r="A30" s="4">
        <f>IF([1]Shipments!$E$7=0,0,[1]Shipments!$E$7)</f>
        <v>0</v>
      </c>
      <c r="B30" s="5">
        <f>[1]Shipments!Q46</f>
        <v>0</v>
      </c>
      <c r="C30" s="4">
        <v>1200</v>
      </c>
      <c r="D30" s="4">
        <f>IF([1]Shipments!J46=0,0,"EF")</f>
        <v>0</v>
      </c>
      <c r="E30" s="6" t="str">
        <f>IF([1]Shipments!C46="promo","C","B")</f>
        <v>B</v>
      </c>
      <c r="F30" s="7">
        <f>[1]Shipments!$E$9</f>
        <v>0</v>
      </c>
      <c r="G30" s="5">
        <f>[1]Shipments!J46</f>
        <v>0</v>
      </c>
      <c r="H30" s="7">
        <f>[1]Shipments!$K$20</f>
        <v>0</v>
      </c>
      <c r="I30" s="5">
        <f>[1]Shipments!K46</f>
        <v>0</v>
      </c>
      <c r="J30" s="7">
        <f>[1]Shipments!$L$20</f>
        <v>0</v>
      </c>
      <c r="K30" s="5">
        <f>[1]Shipments!L46</f>
        <v>0</v>
      </c>
    </row>
    <row r="31" spans="1:11" x14ac:dyDescent="0.2">
      <c r="A31" s="4">
        <f>IF([1]Shipments!$E$7=0,0,[1]Shipments!$E$7)</f>
        <v>0</v>
      </c>
      <c r="B31" s="5">
        <f>[1]Shipments!Q47</f>
        <v>0</v>
      </c>
      <c r="C31" s="4">
        <v>1200</v>
      </c>
      <c r="D31" s="4">
        <f>IF([1]Shipments!J47=0,0,"EF")</f>
        <v>0</v>
      </c>
      <c r="E31" s="6" t="str">
        <f>IF([1]Shipments!C47="promo","C","B")</f>
        <v>B</v>
      </c>
      <c r="F31" s="7">
        <f>[1]Shipments!$E$9</f>
        <v>0</v>
      </c>
      <c r="G31" s="5">
        <f>[1]Shipments!J47</f>
        <v>0</v>
      </c>
      <c r="H31" s="7">
        <f>[1]Shipments!$K$20</f>
        <v>0</v>
      </c>
      <c r="I31" s="5">
        <f>[1]Shipments!K47</f>
        <v>0</v>
      </c>
      <c r="J31" s="7">
        <f>[1]Shipments!$L$20</f>
        <v>0</v>
      </c>
      <c r="K31" s="5">
        <f>[1]Shipments!L47</f>
        <v>0</v>
      </c>
    </row>
    <row r="32" spans="1:11" x14ac:dyDescent="0.2">
      <c r="A32" s="4">
        <f>IF([1]Shipments!$E$7=0,0,[1]Shipments!$E$7)</f>
        <v>0</v>
      </c>
      <c r="B32" s="5">
        <f>[1]Shipments!Q48</f>
        <v>0</v>
      </c>
      <c r="C32" s="4">
        <v>1200</v>
      </c>
      <c r="D32" s="4">
        <f>IF([1]Shipments!J48=0,0,"EF")</f>
        <v>0</v>
      </c>
      <c r="E32" s="6" t="str">
        <f>IF([1]Shipments!C48="promo","C","B")</f>
        <v>B</v>
      </c>
      <c r="F32" s="7">
        <f>[1]Shipments!$E$9</f>
        <v>0</v>
      </c>
      <c r="G32" s="5">
        <f>[1]Shipments!J48</f>
        <v>0</v>
      </c>
      <c r="H32" s="7">
        <f>[1]Shipments!$K$20</f>
        <v>0</v>
      </c>
      <c r="I32" s="5">
        <f>[1]Shipments!K48</f>
        <v>0</v>
      </c>
      <c r="J32" s="7">
        <f>[1]Shipments!$L$20</f>
        <v>0</v>
      </c>
      <c r="K32" s="5">
        <f>[1]Shipments!L48</f>
        <v>0</v>
      </c>
    </row>
    <row r="33" spans="1:11" x14ac:dyDescent="0.2">
      <c r="A33" s="4">
        <f>IF([1]Shipments!$E$7=0,0,[1]Shipments!$E$7)</f>
        <v>0</v>
      </c>
      <c r="B33" s="5">
        <f>[1]Shipments!Q49</f>
        <v>0</v>
      </c>
      <c r="C33" s="4">
        <v>1200</v>
      </c>
      <c r="D33" s="4">
        <f>IF([1]Shipments!J49=0,0,"EF")</f>
        <v>0</v>
      </c>
      <c r="E33" s="6" t="str">
        <f>IF([1]Shipments!C49="promo","C","B")</f>
        <v>B</v>
      </c>
      <c r="F33" s="7">
        <f>[1]Shipments!$E$9</f>
        <v>0</v>
      </c>
      <c r="G33" s="5">
        <f>[1]Shipments!J49</f>
        <v>0</v>
      </c>
      <c r="H33" s="7">
        <f>[1]Shipments!$K$20</f>
        <v>0</v>
      </c>
      <c r="I33" s="5">
        <f>[1]Shipments!K49</f>
        <v>0</v>
      </c>
      <c r="J33" s="7">
        <f>[1]Shipments!$L$20</f>
        <v>0</v>
      </c>
      <c r="K33" s="5">
        <f>[1]Shipments!L49</f>
        <v>0</v>
      </c>
    </row>
    <row r="34" spans="1:11" x14ac:dyDescent="0.2">
      <c r="A34" s="4">
        <f>IF([1]Shipments!$E$7=0,0,[1]Shipments!$E$7)</f>
        <v>0</v>
      </c>
      <c r="B34" s="5">
        <f>[1]Shipments!Q50</f>
        <v>0</v>
      </c>
      <c r="C34" s="4">
        <v>1200</v>
      </c>
      <c r="D34" s="4">
        <f>IF([1]Shipments!J50=0,0,"EF")</f>
        <v>0</v>
      </c>
      <c r="E34" s="6" t="str">
        <f>IF([1]Shipments!C50="promo","C","B")</f>
        <v>B</v>
      </c>
      <c r="F34" s="7">
        <f>[1]Shipments!$E$9</f>
        <v>0</v>
      </c>
      <c r="G34" s="5">
        <f>[1]Shipments!J50</f>
        <v>0</v>
      </c>
      <c r="H34" s="7">
        <f>[1]Shipments!$K$20</f>
        <v>0</v>
      </c>
      <c r="I34" s="5">
        <f>[1]Shipments!K50</f>
        <v>0</v>
      </c>
      <c r="J34" s="7">
        <f>[1]Shipments!$L$20</f>
        <v>0</v>
      </c>
      <c r="K34" s="5">
        <f>[1]Shipments!L50</f>
        <v>0</v>
      </c>
    </row>
    <row r="35" spans="1:11" x14ac:dyDescent="0.2">
      <c r="A35" s="4">
        <f>IF([1]Shipments!$E$7=0,0,[1]Shipments!$E$7)</f>
        <v>0</v>
      </c>
      <c r="B35" s="5">
        <f>[1]Shipments!Q51</f>
        <v>0</v>
      </c>
      <c r="C35" s="4">
        <v>1200</v>
      </c>
      <c r="D35" s="4">
        <f>IF([1]Shipments!J51=0,0,"EF")</f>
        <v>0</v>
      </c>
      <c r="E35" s="6" t="str">
        <f>IF([1]Shipments!C51="promo","C","B")</f>
        <v>B</v>
      </c>
      <c r="F35" s="7">
        <f>[1]Shipments!$E$9</f>
        <v>0</v>
      </c>
      <c r="G35" s="5">
        <f>[1]Shipments!J51</f>
        <v>0</v>
      </c>
      <c r="H35" s="7">
        <f>[1]Shipments!$K$20</f>
        <v>0</v>
      </c>
      <c r="I35" s="5">
        <f>[1]Shipments!K51</f>
        <v>0</v>
      </c>
      <c r="J35" s="7">
        <f>[1]Shipments!$L$20</f>
        <v>0</v>
      </c>
      <c r="K35" s="5">
        <f>[1]Shipments!L51</f>
        <v>0</v>
      </c>
    </row>
    <row r="36" spans="1:11" x14ac:dyDescent="0.2">
      <c r="A36" s="4">
        <f>IF([1]Shipments!$E$7=0,0,[1]Shipments!$E$7)</f>
        <v>0</v>
      </c>
      <c r="B36" s="5">
        <f>[1]Shipments!Q52</f>
        <v>0</v>
      </c>
      <c r="C36" s="4">
        <v>1200</v>
      </c>
      <c r="D36" s="4">
        <f>IF([1]Shipments!J52=0,0,"EF")</f>
        <v>0</v>
      </c>
      <c r="E36" s="6" t="str">
        <f>IF([1]Shipments!C52="promo","C","B")</f>
        <v>B</v>
      </c>
      <c r="F36" s="7">
        <f>[1]Shipments!$E$9</f>
        <v>0</v>
      </c>
      <c r="G36" s="5">
        <f>[1]Shipments!J52</f>
        <v>0</v>
      </c>
      <c r="H36" s="7">
        <f>[1]Shipments!$K$20</f>
        <v>0</v>
      </c>
      <c r="I36" s="5">
        <f>[1]Shipments!K52</f>
        <v>0</v>
      </c>
      <c r="J36" s="7">
        <f>[1]Shipments!$L$20</f>
        <v>0</v>
      </c>
      <c r="K36" s="5">
        <f>[1]Shipments!L52</f>
        <v>0</v>
      </c>
    </row>
    <row r="37" spans="1:11" x14ac:dyDescent="0.2">
      <c r="A37" s="4">
        <f>IF([1]Shipments!$E$7=0,0,[1]Shipments!$E$7)</f>
        <v>0</v>
      </c>
      <c r="B37" s="5">
        <f>[1]Shipments!Q53</f>
        <v>0</v>
      </c>
      <c r="C37" s="4">
        <v>1200</v>
      </c>
      <c r="D37" s="4">
        <f>IF([1]Shipments!J53=0,0,"EF")</f>
        <v>0</v>
      </c>
      <c r="E37" s="6" t="str">
        <f>IF([1]Shipments!C53="promo","C","B")</f>
        <v>B</v>
      </c>
      <c r="F37" s="7">
        <f>[1]Shipments!$E$9</f>
        <v>0</v>
      </c>
      <c r="G37" s="5">
        <f>[1]Shipments!J53</f>
        <v>0</v>
      </c>
      <c r="H37" s="7">
        <f>[1]Shipments!$K$20</f>
        <v>0</v>
      </c>
      <c r="I37" s="5">
        <f>[1]Shipments!K53</f>
        <v>0</v>
      </c>
      <c r="J37" s="7">
        <f>[1]Shipments!$L$20</f>
        <v>0</v>
      </c>
      <c r="K37" s="5">
        <f>[1]Shipments!L53</f>
        <v>0</v>
      </c>
    </row>
    <row r="38" spans="1:11" x14ac:dyDescent="0.2">
      <c r="A38" s="4">
        <f>IF([1]Shipments!$E$7=0,0,[1]Shipments!$E$7)</f>
        <v>0</v>
      </c>
      <c r="B38" s="5">
        <f>[1]Shipments!Q54</f>
        <v>0</v>
      </c>
      <c r="C38" s="4">
        <v>1200</v>
      </c>
      <c r="D38" s="4">
        <f>IF([1]Shipments!J54=0,0,"EF")</f>
        <v>0</v>
      </c>
      <c r="E38" s="6" t="str">
        <f>IF([1]Shipments!C54="promo","C","B")</f>
        <v>B</v>
      </c>
      <c r="F38" s="7">
        <f>[1]Shipments!$E$9</f>
        <v>0</v>
      </c>
      <c r="G38" s="5">
        <f>[1]Shipments!J54</f>
        <v>0</v>
      </c>
      <c r="H38" s="7">
        <f>[1]Shipments!$K$20</f>
        <v>0</v>
      </c>
      <c r="I38" s="5">
        <f>[1]Shipments!K54</f>
        <v>0</v>
      </c>
      <c r="J38" s="7">
        <f>[1]Shipments!$L$20</f>
        <v>0</v>
      </c>
      <c r="K38" s="5">
        <f>[1]Shipments!L54</f>
        <v>0</v>
      </c>
    </row>
    <row r="39" spans="1:11" x14ac:dyDescent="0.2">
      <c r="A39" s="4">
        <f>IF([1]Shipments!$E$7=0,0,[1]Shipments!$E$7)</f>
        <v>0</v>
      </c>
      <c r="B39" s="5">
        <f>[1]Shipments!Q55</f>
        <v>0</v>
      </c>
      <c r="C39" s="4">
        <v>1200</v>
      </c>
      <c r="D39" s="4">
        <f>IF([1]Shipments!J55=0,0,"EF")</f>
        <v>0</v>
      </c>
      <c r="E39" s="6" t="str">
        <f>IF([1]Shipments!C55="promo","C","B")</f>
        <v>B</v>
      </c>
      <c r="F39" s="7">
        <f>[1]Shipments!$E$9</f>
        <v>0</v>
      </c>
      <c r="G39" s="5">
        <f>[1]Shipments!J55</f>
        <v>0</v>
      </c>
      <c r="H39" s="7">
        <f>[1]Shipments!$K$20</f>
        <v>0</v>
      </c>
      <c r="I39" s="5">
        <f>[1]Shipments!K55</f>
        <v>0</v>
      </c>
      <c r="J39" s="7">
        <f>[1]Shipments!$L$20</f>
        <v>0</v>
      </c>
      <c r="K39" s="5">
        <f>[1]Shipments!L55</f>
        <v>0</v>
      </c>
    </row>
    <row r="40" spans="1:11" x14ac:dyDescent="0.2">
      <c r="A40" s="4">
        <f>IF([1]Shipments!$E$7=0,0,[1]Shipments!$E$7)</f>
        <v>0</v>
      </c>
      <c r="B40" s="5">
        <f>[1]Shipments!Q56</f>
        <v>0</v>
      </c>
      <c r="C40" s="4">
        <v>1200</v>
      </c>
      <c r="D40" s="4">
        <f>IF([1]Shipments!J56=0,0,"EF")</f>
        <v>0</v>
      </c>
      <c r="E40" s="6" t="str">
        <f>IF([1]Shipments!C56="promo","C","B")</f>
        <v>B</v>
      </c>
      <c r="F40" s="7">
        <f>[1]Shipments!$E$9</f>
        <v>0</v>
      </c>
      <c r="G40" s="5">
        <f>[1]Shipments!J56</f>
        <v>0</v>
      </c>
      <c r="H40" s="7">
        <f>[1]Shipments!$K$20</f>
        <v>0</v>
      </c>
      <c r="I40" s="5">
        <f>[1]Shipments!K56</f>
        <v>0</v>
      </c>
      <c r="J40" s="7">
        <f>[1]Shipments!$L$20</f>
        <v>0</v>
      </c>
      <c r="K40" s="5">
        <f>[1]Shipments!L56</f>
        <v>0</v>
      </c>
    </row>
    <row r="41" spans="1:11" x14ac:dyDescent="0.2">
      <c r="A41" s="4">
        <f>IF([1]Shipments!$E$7=0,0,[1]Shipments!$E$7)</f>
        <v>0</v>
      </c>
      <c r="B41" s="5">
        <f>[1]Shipments!Q57</f>
        <v>0</v>
      </c>
      <c r="C41" s="4">
        <v>1200</v>
      </c>
      <c r="D41" s="4">
        <f>IF([1]Shipments!J57=0,0,"EF")</f>
        <v>0</v>
      </c>
      <c r="E41" s="6" t="str">
        <f>IF([1]Shipments!C57="promo","C","B")</f>
        <v>B</v>
      </c>
      <c r="F41" s="7">
        <f>[1]Shipments!$E$9</f>
        <v>0</v>
      </c>
      <c r="G41" s="5">
        <f>[1]Shipments!J57</f>
        <v>0</v>
      </c>
      <c r="H41" s="7">
        <f>[1]Shipments!$K$20</f>
        <v>0</v>
      </c>
      <c r="I41" s="5">
        <f>[1]Shipments!K57</f>
        <v>0</v>
      </c>
      <c r="J41" s="7">
        <f>[1]Shipments!$L$20</f>
        <v>0</v>
      </c>
      <c r="K41" s="5">
        <f>[1]Shipments!L57</f>
        <v>0</v>
      </c>
    </row>
    <row r="42" spans="1:11" x14ac:dyDescent="0.2">
      <c r="A42" s="4">
        <f>IF([1]Shipments!$E$7=0,0,[1]Shipments!$E$7)</f>
        <v>0</v>
      </c>
      <c r="B42" s="5">
        <f>[1]Shipments!Q58</f>
        <v>0</v>
      </c>
      <c r="C42" s="4">
        <v>1200</v>
      </c>
      <c r="D42" s="4">
        <f>IF([1]Shipments!J58=0,0,"EF")</f>
        <v>0</v>
      </c>
      <c r="E42" s="6" t="str">
        <f>IF([1]Shipments!C58="promo","C","B")</f>
        <v>B</v>
      </c>
      <c r="F42" s="7">
        <f>[1]Shipments!$E$9</f>
        <v>0</v>
      </c>
      <c r="G42" s="5">
        <f>[1]Shipments!J58</f>
        <v>0</v>
      </c>
      <c r="H42" s="7">
        <f>[1]Shipments!$K$20</f>
        <v>0</v>
      </c>
      <c r="I42" s="5">
        <f>[1]Shipments!K58</f>
        <v>0</v>
      </c>
      <c r="J42" s="7">
        <f>[1]Shipments!$L$20</f>
        <v>0</v>
      </c>
      <c r="K42" s="5">
        <f>[1]Shipments!L58</f>
        <v>0</v>
      </c>
    </row>
    <row r="43" spans="1:11" x14ac:dyDescent="0.2">
      <c r="A43" s="4">
        <f>IF([1]Shipments!$E$7=0,0,[1]Shipments!$E$7)</f>
        <v>0</v>
      </c>
      <c r="B43" s="5">
        <f>[1]Shipments!Q59</f>
        <v>0</v>
      </c>
      <c r="C43" s="4">
        <v>1200</v>
      </c>
      <c r="D43" s="4">
        <f>IF([1]Shipments!J59=0,0,"EF")</f>
        <v>0</v>
      </c>
      <c r="E43" s="6" t="str">
        <f>IF([1]Shipments!C59="promo","C","B")</f>
        <v>B</v>
      </c>
      <c r="F43" s="7">
        <f>[1]Shipments!$E$9</f>
        <v>0</v>
      </c>
      <c r="G43" s="5">
        <f>[1]Shipments!J59</f>
        <v>0</v>
      </c>
      <c r="H43" s="7">
        <f>[1]Shipments!$K$20</f>
        <v>0</v>
      </c>
      <c r="I43" s="5">
        <f>[1]Shipments!K59</f>
        <v>0</v>
      </c>
      <c r="J43" s="7">
        <f>[1]Shipments!$L$20</f>
        <v>0</v>
      </c>
      <c r="K43" s="5">
        <f>[1]Shipments!L59</f>
        <v>0</v>
      </c>
    </row>
    <row r="44" spans="1:11" x14ac:dyDescent="0.2">
      <c r="A44" s="4">
        <f>IF([1]Shipments!$E$7=0,0,[1]Shipments!$E$7)</f>
        <v>0</v>
      </c>
      <c r="B44" s="5">
        <f>[1]Shipments!Q60</f>
        <v>0</v>
      </c>
      <c r="C44" s="4">
        <v>1200</v>
      </c>
      <c r="D44" s="4">
        <f>IF([1]Shipments!J60=0,0,"EF")</f>
        <v>0</v>
      </c>
      <c r="E44" s="6" t="str">
        <f>IF([1]Shipments!C60="promo","C","B")</f>
        <v>B</v>
      </c>
      <c r="F44" s="7">
        <f>[1]Shipments!$E$9</f>
        <v>0</v>
      </c>
      <c r="G44" s="5">
        <f>[1]Shipments!J60</f>
        <v>0</v>
      </c>
      <c r="H44" s="7">
        <f>[1]Shipments!$K$20</f>
        <v>0</v>
      </c>
      <c r="I44" s="5">
        <f>[1]Shipments!K60</f>
        <v>0</v>
      </c>
      <c r="J44" s="7">
        <f>[1]Shipments!$L$20</f>
        <v>0</v>
      </c>
      <c r="K44" s="5">
        <f>[1]Shipments!L60</f>
        <v>0</v>
      </c>
    </row>
    <row r="45" spans="1:11" x14ac:dyDescent="0.2">
      <c r="A45" s="4">
        <f>IF([1]Shipments!$E$7=0,0,[1]Shipments!$E$7)</f>
        <v>0</v>
      </c>
      <c r="B45" s="5">
        <f>[1]Shipments!Q61</f>
        <v>0</v>
      </c>
      <c r="C45" s="4">
        <v>1200</v>
      </c>
      <c r="D45" s="4">
        <f>IF([1]Shipments!J61=0,0,"EF")</f>
        <v>0</v>
      </c>
      <c r="E45" s="6" t="str">
        <f>IF([1]Shipments!C61="promo","C","B")</f>
        <v>B</v>
      </c>
      <c r="F45" s="7">
        <f>[1]Shipments!$E$9</f>
        <v>0</v>
      </c>
      <c r="G45" s="5">
        <f>[1]Shipments!J61</f>
        <v>0</v>
      </c>
      <c r="H45" s="7">
        <f>[1]Shipments!$K$20</f>
        <v>0</v>
      </c>
      <c r="I45" s="5">
        <f>[1]Shipments!K61</f>
        <v>0</v>
      </c>
      <c r="J45" s="7">
        <f>[1]Shipments!$L$20</f>
        <v>0</v>
      </c>
      <c r="K45" s="5">
        <f>[1]Shipments!L61</f>
        <v>0</v>
      </c>
    </row>
    <row r="46" spans="1:11" x14ac:dyDescent="0.2">
      <c r="A46" s="4">
        <f>IF([1]Shipments!$E$7=0,0,[1]Shipments!$E$7)</f>
        <v>0</v>
      </c>
      <c r="B46" s="5">
        <f>[1]Shipments!Q62</f>
        <v>0</v>
      </c>
      <c r="C46" s="4">
        <v>1200</v>
      </c>
      <c r="D46" s="4">
        <f>IF([1]Shipments!J62=0,0,"EF")</f>
        <v>0</v>
      </c>
      <c r="E46" s="6" t="str">
        <f>IF([1]Shipments!C62="promo","C","B")</f>
        <v>B</v>
      </c>
      <c r="F46" s="7">
        <f>[1]Shipments!$E$9</f>
        <v>0</v>
      </c>
      <c r="G46" s="5">
        <f>[1]Shipments!J62</f>
        <v>0</v>
      </c>
      <c r="H46" s="7">
        <f>[1]Shipments!$K$20</f>
        <v>0</v>
      </c>
      <c r="I46" s="5">
        <f>[1]Shipments!K62</f>
        <v>0</v>
      </c>
      <c r="J46" s="7">
        <f>[1]Shipments!$L$20</f>
        <v>0</v>
      </c>
      <c r="K46" s="5">
        <f>[1]Shipments!L62</f>
        <v>0</v>
      </c>
    </row>
    <row r="47" spans="1:11" x14ac:dyDescent="0.2">
      <c r="A47" s="4">
        <f>IF([1]Shipments!$E$7=0,0,[1]Shipments!$E$7)</f>
        <v>0</v>
      </c>
      <c r="B47" s="5">
        <f>[1]Shipments!Q63</f>
        <v>0</v>
      </c>
      <c r="C47" s="4">
        <v>1200</v>
      </c>
      <c r="D47" s="4">
        <f>IF([1]Shipments!J63=0,0,"EF")</f>
        <v>0</v>
      </c>
      <c r="E47" s="6" t="str">
        <f>IF([1]Shipments!C63="promo","C","B")</f>
        <v>B</v>
      </c>
      <c r="F47" s="7">
        <f>[1]Shipments!$E$9</f>
        <v>0</v>
      </c>
      <c r="G47" s="5">
        <f>[1]Shipments!J63</f>
        <v>0</v>
      </c>
      <c r="H47" s="7">
        <f>[1]Shipments!$K$20</f>
        <v>0</v>
      </c>
      <c r="I47" s="5">
        <f>[1]Shipments!K63</f>
        <v>0</v>
      </c>
      <c r="J47" s="7">
        <f>[1]Shipments!$L$20</f>
        <v>0</v>
      </c>
      <c r="K47" s="5">
        <f>[1]Shipments!L63</f>
        <v>0</v>
      </c>
    </row>
    <row r="48" spans="1:11" x14ac:dyDescent="0.2">
      <c r="A48" s="4">
        <f>IF([1]Shipments!$E$7=0,0,[1]Shipments!$E$7)</f>
        <v>0</v>
      </c>
      <c r="B48" s="5">
        <f>[1]Shipments!Q64</f>
        <v>0</v>
      </c>
      <c r="C48" s="4">
        <v>1200</v>
      </c>
      <c r="D48" s="4">
        <f>IF([1]Shipments!J64=0,0,"EF")</f>
        <v>0</v>
      </c>
      <c r="E48" s="6" t="str">
        <f>IF([1]Shipments!C64="promo","C","B")</f>
        <v>B</v>
      </c>
      <c r="F48" s="7">
        <f>[1]Shipments!$E$9</f>
        <v>0</v>
      </c>
      <c r="G48" s="5">
        <f>[1]Shipments!J64</f>
        <v>0</v>
      </c>
      <c r="H48" s="7">
        <f>[1]Shipments!$K$20</f>
        <v>0</v>
      </c>
      <c r="I48" s="5">
        <f>[1]Shipments!K64</f>
        <v>0</v>
      </c>
      <c r="J48" s="7">
        <f>[1]Shipments!$L$20</f>
        <v>0</v>
      </c>
      <c r="K48" s="5">
        <f>[1]Shipments!L64</f>
        <v>0</v>
      </c>
    </row>
    <row r="49" spans="1:11" x14ac:dyDescent="0.2">
      <c r="A49" s="4">
        <f>IF([1]Shipments!$E$7=0,0,[1]Shipments!$E$7)</f>
        <v>0</v>
      </c>
      <c r="B49" s="5">
        <f>[1]Shipments!Q65</f>
        <v>0</v>
      </c>
      <c r="C49" s="4">
        <v>1200</v>
      </c>
      <c r="D49" s="4">
        <f>IF([1]Shipments!J65=0,0,"EF")</f>
        <v>0</v>
      </c>
      <c r="E49" s="6" t="str">
        <f>IF([1]Shipments!C65="promo","C","B")</f>
        <v>B</v>
      </c>
      <c r="F49" s="7">
        <f>[1]Shipments!$E$9</f>
        <v>0</v>
      </c>
      <c r="G49" s="5">
        <f>[1]Shipments!J65</f>
        <v>0</v>
      </c>
      <c r="H49" s="7">
        <f>[1]Shipments!$K$20</f>
        <v>0</v>
      </c>
      <c r="I49" s="5">
        <f>[1]Shipments!K65</f>
        <v>0</v>
      </c>
      <c r="J49" s="7">
        <f>[1]Shipments!$L$20</f>
        <v>0</v>
      </c>
      <c r="K49" s="5">
        <f>[1]Shipments!L65</f>
        <v>0</v>
      </c>
    </row>
    <row r="50" spans="1:11" x14ac:dyDescent="0.2">
      <c r="A50" s="4">
        <f>IF([1]Shipments!$E$7=0,0,[1]Shipments!$E$7)</f>
        <v>0</v>
      </c>
      <c r="B50" s="5">
        <f>[1]Shipments!Q66</f>
        <v>0</v>
      </c>
      <c r="C50" s="4">
        <v>1200</v>
      </c>
      <c r="D50" s="4">
        <f>IF([1]Shipments!J66=0,0,"EF")</f>
        <v>0</v>
      </c>
      <c r="E50" s="6" t="str">
        <f>IF([1]Shipments!C66="promo","C","B")</f>
        <v>B</v>
      </c>
      <c r="F50" s="7">
        <f>[1]Shipments!$E$9</f>
        <v>0</v>
      </c>
      <c r="G50" s="5">
        <f>[1]Shipments!J66</f>
        <v>0</v>
      </c>
      <c r="H50" s="7">
        <f>[1]Shipments!$K$20</f>
        <v>0</v>
      </c>
      <c r="I50" s="5">
        <f>[1]Shipments!K66</f>
        <v>0</v>
      </c>
      <c r="J50" s="7">
        <f>[1]Shipments!$L$20</f>
        <v>0</v>
      </c>
      <c r="K50" s="5">
        <f>[1]Shipments!L66</f>
        <v>0</v>
      </c>
    </row>
    <row r="51" spans="1:11" x14ac:dyDescent="0.2">
      <c r="A51" s="4">
        <f>IF([1]Shipments!$E$7=0,0,[1]Shipments!$E$7)</f>
        <v>0</v>
      </c>
      <c r="B51" s="5">
        <f>[1]Shipments!Q67</f>
        <v>0</v>
      </c>
      <c r="C51" s="4">
        <v>1200</v>
      </c>
      <c r="D51" s="4">
        <f>IF([1]Shipments!J67=0,0,"EF")</f>
        <v>0</v>
      </c>
      <c r="E51" s="6" t="str">
        <f>IF([1]Shipments!C67="promo","C","B")</f>
        <v>B</v>
      </c>
      <c r="F51" s="7">
        <f>[1]Shipments!$E$9</f>
        <v>0</v>
      </c>
      <c r="G51" s="5">
        <f>[1]Shipments!J67</f>
        <v>0</v>
      </c>
      <c r="H51" s="7">
        <f>[1]Shipments!$K$20</f>
        <v>0</v>
      </c>
      <c r="I51" s="5">
        <f>[1]Shipments!K67</f>
        <v>0</v>
      </c>
      <c r="J51" s="7">
        <f>[1]Shipments!$L$20</f>
        <v>0</v>
      </c>
      <c r="K51" s="5">
        <f>[1]Shipments!L67</f>
        <v>0</v>
      </c>
    </row>
    <row r="52" spans="1:11" x14ac:dyDescent="0.2">
      <c r="A52" s="4">
        <f>IF([1]Shipments!$E$7=0,0,[1]Shipments!$E$7)</f>
        <v>0</v>
      </c>
      <c r="B52" s="5">
        <f>[1]Shipments!Q68</f>
        <v>0</v>
      </c>
      <c r="C52" s="4">
        <v>1200</v>
      </c>
      <c r="D52" s="4">
        <f>IF([1]Shipments!J68=0,0,"EF")</f>
        <v>0</v>
      </c>
      <c r="E52" s="6" t="str">
        <f>IF([1]Shipments!C68="promo","C","B")</f>
        <v>B</v>
      </c>
      <c r="F52" s="7">
        <f>[1]Shipments!$E$9</f>
        <v>0</v>
      </c>
      <c r="G52" s="5">
        <f>[1]Shipments!J68</f>
        <v>0</v>
      </c>
      <c r="H52" s="7">
        <f>[1]Shipments!$K$20</f>
        <v>0</v>
      </c>
      <c r="I52" s="5">
        <f>[1]Shipments!K68</f>
        <v>0</v>
      </c>
      <c r="J52" s="7">
        <f>[1]Shipments!$L$20</f>
        <v>0</v>
      </c>
      <c r="K52" s="5">
        <f>[1]Shipments!L68</f>
        <v>0</v>
      </c>
    </row>
    <row r="53" spans="1:11" x14ac:dyDescent="0.2">
      <c r="A53" s="4">
        <f>IF([1]Shipments!$E$7=0,0,[1]Shipments!$E$7)</f>
        <v>0</v>
      </c>
      <c r="B53" s="5">
        <f>[1]Shipments!Q69</f>
        <v>0</v>
      </c>
      <c r="C53" s="4">
        <v>1200</v>
      </c>
      <c r="D53" s="4">
        <f>IF([1]Shipments!J69=0,0,"EF")</f>
        <v>0</v>
      </c>
      <c r="E53" s="6" t="str">
        <f>IF([1]Shipments!C69="promo","C","B")</f>
        <v>B</v>
      </c>
      <c r="F53" s="7">
        <f>[1]Shipments!$E$9</f>
        <v>0</v>
      </c>
      <c r="G53" s="5">
        <f>[1]Shipments!J69</f>
        <v>0</v>
      </c>
      <c r="H53" s="7">
        <f>[1]Shipments!$K$20</f>
        <v>0</v>
      </c>
      <c r="I53" s="5">
        <f>[1]Shipments!K69</f>
        <v>0</v>
      </c>
      <c r="J53" s="7">
        <f>[1]Shipments!$L$20</f>
        <v>0</v>
      </c>
      <c r="K53" s="5">
        <f>[1]Shipments!L69</f>
        <v>0</v>
      </c>
    </row>
    <row r="54" spans="1:11" x14ac:dyDescent="0.2">
      <c r="A54" s="4">
        <f>IF([1]Shipments!$E$7=0,0,[1]Shipments!$E$7)</f>
        <v>0</v>
      </c>
      <c r="B54" s="5">
        <f>[1]Shipments!Q70</f>
        <v>0</v>
      </c>
      <c r="C54" s="4">
        <v>1200</v>
      </c>
      <c r="D54" s="4">
        <f>IF([1]Shipments!J70=0,0,"EF")</f>
        <v>0</v>
      </c>
      <c r="E54" s="6" t="str">
        <f>IF([1]Shipments!C70="promo","C","B")</f>
        <v>B</v>
      </c>
      <c r="F54" s="7">
        <f>[1]Shipments!$E$9</f>
        <v>0</v>
      </c>
      <c r="G54" s="5">
        <f>[1]Shipments!J70</f>
        <v>0</v>
      </c>
      <c r="H54" s="7">
        <f>[1]Shipments!$K$20</f>
        <v>0</v>
      </c>
      <c r="I54" s="5">
        <f>[1]Shipments!K70</f>
        <v>0</v>
      </c>
      <c r="J54" s="7">
        <f>[1]Shipments!$L$20</f>
        <v>0</v>
      </c>
      <c r="K54" s="5">
        <f>[1]Shipments!L70</f>
        <v>0</v>
      </c>
    </row>
    <row r="55" spans="1:11" x14ac:dyDescent="0.2">
      <c r="A55" s="4">
        <f>IF([1]Shipments!$E$7=0,0,[1]Shipments!$E$7)</f>
        <v>0</v>
      </c>
      <c r="B55" s="5">
        <f>[1]Shipments!Q71</f>
        <v>0</v>
      </c>
      <c r="C55" s="4">
        <v>1200</v>
      </c>
      <c r="D55" s="4">
        <f>IF([1]Shipments!J71=0,0,"EF")</f>
        <v>0</v>
      </c>
      <c r="E55" s="6" t="str">
        <f>IF([1]Shipments!C71="promo","C","B")</f>
        <v>B</v>
      </c>
      <c r="F55" s="7">
        <f>[1]Shipments!$E$9</f>
        <v>0</v>
      </c>
      <c r="G55" s="5" t="e">
        <f>[1]Shipments!#REF!</f>
        <v>#REF!</v>
      </c>
      <c r="H55" s="7">
        <f>[1]Shipments!$K$20</f>
        <v>0</v>
      </c>
      <c r="I55" s="5" t="e">
        <f>[1]Shipments!#REF!</f>
        <v>#REF!</v>
      </c>
      <c r="J55" s="7">
        <f>[1]Shipments!$L$20</f>
        <v>0</v>
      </c>
      <c r="K55" s="5">
        <f>[1]Shipments!L71</f>
        <v>0</v>
      </c>
    </row>
  </sheetData>
  <sheetProtection selectLockedCells="1"/>
  <pageMargins left="0.75" right="0.75" top="1" bottom="1" header="0.5" footer="0.5"/>
  <pageSetup paperSize="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FORECAST UPLOAD</vt:lpstr>
      <vt:lpstr>'FORECAST UPLOAD'!Print_Area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iStar Jewelry</dc:creator>
  <cp:lastModifiedBy>Liping Hu</cp:lastModifiedBy>
  <dcterms:created xsi:type="dcterms:W3CDTF">2026-06-23T14:51:28Z</dcterms:created>
  <dcterms:modified xsi:type="dcterms:W3CDTF">2026-06-29T19:57:16Z</dcterms:modified>
</cp:coreProperties>
</file>